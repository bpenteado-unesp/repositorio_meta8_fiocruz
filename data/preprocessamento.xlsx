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Bruno\Desktop\Fiocruz\SEIDIGI\Meta 8 - Data science epidemiology\5-Repositório\streamlit\repositorio\src\data\"/>
    </mc:Choice>
  </mc:AlternateContent>
  <xr:revisionPtr revIDLastSave="0" documentId="13_ncr:1_{A081C723-0F76-4693-ABC1-70AFCD60BDC7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ferramentas_preprocessamento" sheetId="1" r:id="rId1"/>
    <sheet name="resumo" sheetId="2" r:id="rId2"/>
    <sheet name="metadados" sheetId="3" r:id="rId3"/>
    <sheet name="sugestao_por_produt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<sst xmlns="http://schemas.openxmlformats.org/spreadsheetml/2006/main" count="632" uniqueCount="378">
  <si>
    <t>categoria</t>
  </si>
  <si>
    <t>ferramenta</t>
  </si>
  <si>
    <t>escopo</t>
  </si>
  <si>
    <t>conteudo_principal</t>
  </si>
  <si>
    <t>potencial_para_ve_e_ciencia_de_dados</t>
  </si>
  <si>
    <t>cuidados_observacoes</t>
  </si>
  <si>
    <t>fonte</t>
  </si>
  <si>
    <t>Limpeza interativa sem código</t>
  </si>
  <si>
    <t>OpenRefine</t>
  </si>
  <si>
    <t>Desktop / navegador local / open source</t>
  </si>
  <si>
    <t>Ferramenta para trabalhar com dados bagunçados, limpar valores, transformar formatos, padronizar textos, agrupar valores semelhantes e enriquecer dados com serviços externos.</t>
  </si>
  <si>
    <t>Útil para padronizar nomes de municípios, unidades de saúde, categorias de agravos, campos textuais, estabelecimentos, ocupações, bairros e valores divergentes antes da análise epidemiológica.</t>
  </si>
  <si>
    <t>Muito boa para curadoria assistida, mas as transformações precisam ser exportadas/documentadas para reprodutibilidade. Evitar uso com microdados sensíveis sem ambiente controlado.</t>
  </si>
  <si>
    <t>https://openrefine.org/</t>
  </si>
  <si>
    <t>Manipulação tabular em Python</t>
  </si>
  <si>
    <t>pandas</t>
  </si>
  <si>
    <t>Python / DataFrames / open source</t>
  </si>
  <si>
    <t>Biblioteca central para manipulação de dados tabulares: tratamento de ausentes, tipos, datas, filtros, junções, agregações, reshaping e exportação.</t>
  </si>
  <si>
    <t>Base para pipelines de SIVEP-Gripe, SINAN, SIM, SINASC, SI-PNI e SIH/SUS; permite criar semana epidemiológica, faixas etárias, indicadores, agregações por município e bases analíticas.</t>
  </si>
  <si>
    <t>Pode consumir muita memória em bases grandes. Exige cuidado com encoding, datas, tipos, categorias, versionamento de scripts e regras epidemiológicas explícitas.</t>
  </si>
  <si>
    <t>https://pandas.pydata.org/pandas-docs/stable/user_guide/missing_data.html</t>
  </si>
  <si>
    <t>pyjanitor</t>
  </si>
  <si>
    <t>Python / extensão do pandas / open source</t>
  </si>
  <si>
    <t>Extensão do pandas com API encadeável para tarefas comuns de limpeza, como padronização de nomes de colunas, remoção de vazios e organização de tabelas.</t>
  </si>
  <si>
    <t>Ajuda a tornar pipelines de pré-processamento mais legíveis para rotinas repetitivas: limpar nomes de variáveis, padronizar colunas de bases abertas e organizar tabelas para indicadores.</t>
  </si>
  <si>
    <t>Não substitui validações epidemiológicas; deve ser combinado com testes de qualidade e dicionários de dados oficiais.</t>
  </si>
  <si>
    <t>https://pyjanitor-devs.github.io/pyjanitor/</t>
  </si>
  <si>
    <t>Manipulação tabular em R</t>
  </si>
  <si>
    <t>dplyr</t>
  </si>
  <si>
    <t>R / tidyverse / open source</t>
  </si>
  <si>
    <t>Pacote para manipulação de data frames com verbos como selecionar, filtrar, criar variáveis, agrupar, resumir e juntar tabelas.</t>
  </si>
  <si>
    <t>Muito aderente a equipes epidemiológicas que usam R; facilita filtros por classificação de caso, agregações semanais, indicadores por território e rotinas de análise reprodutível.</t>
  </si>
  <si>
    <t>Pipelines longos devem ser modularizados e versionados. Para bases muito grandes, considerar integração com DuckDB, Arrow, Spark ou bancos analíticos.</t>
  </si>
  <si>
    <t>https://dplyr.tidyverse.org/</t>
  </si>
  <si>
    <t>Formatação e reestruturação em R</t>
  </si>
  <si>
    <t>tidyr</t>
  </si>
  <si>
    <t>Ferramentas para transformar dados em formato tidy, incluindo pivotagem, separação/unificação de colunas e tratamento de valores ausentes implícitos.</t>
  </si>
  <si>
    <t>Útil para converter planilhas largas em séries longas por semana epidemiológica, dose, faixa etária, município ou agravo, facilitando gráficos e modelagem.</t>
  </si>
  <si>
    <t>Ao pivotar dados epidemiológicos, preservar significado de variáveis como dose, classificação final, critério de confirmação, evolução e data de referência.</t>
  </si>
  <si>
    <t>https://tidyr.tidyverse.org/</t>
  </si>
  <si>
    <t>Limpeza e padronização em R</t>
  </si>
  <si>
    <t>janitor</t>
  </si>
  <si>
    <t>R / limpeza de dados / open source</t>
  </si>
  <si>
    <t>Pacote para examinar e limpar dados, incluindo padronização de nomes de colunas, tabulações, remoção de linhas/colunas vazias e inspeção de duplicidades.</t>
  </si>
  <si>
    <t>Bom para iniciar a curadoria de planilhas epidemiológicas, boletins, exportações de sistemas e arquivos CSV com nomes de colunas inconsistentes.</t>
  </si>
  <si>
    <t>Indicado para limpeza inicial; regras epidemiológicas e validações formais devem ser implementadas em etapas adicionais.</t>
  </si>
  <si>
    <t>https://sfirke.github.io/janitor/</t>
  </si>
  <si>
    <t>Processamento tabular de alto desempenho</t>
  </si>
  <si>
    <t>Polars</t>
  </si>
  <si>
    <t>Python / Rust / DataFrames / open source</t>
  </si>
  <si>
    <t>Engine de DataFrames com execução eager/lazy, otimização de consultas, paralelismo e suporte a processamento eficiente de grandes volumes.</t>
  </si>
  <si>
    <t>Indicado para microdados volumosos, como vacinação, SRAG, hospitalizações, produção ambulatorial e arquivos Parquet/CSV grandes; acelera limpeza, filtros e agregações.</t>
  </si>
  <si>
    <t>Ecossistema menor que pandas em algumas áreas. Padronizar práticas da equipe e testar compatibilidade com bibliotecas de modelagem e visualização.</t>
  </si>
  <si>
    <t>https://docs.pola.rs/api/python/stable/reference/lazyframe/</t>
  </si>
  <si>
    <t>SQL local e preparação de arquivos</t>
  </si>
  <si>
    <t>DuckDB</t>
  </si>
  <si>
    <t>Banco analítico embarcado / SQL / open source</t>
  </si>
  <si>
    <t>Permite consultar arquivos locais ou remotos como CSV, Parquet e JSON com SQL, sem necessidade de servidor dedicado.</t>
  </si>
  <si>
    <t>Excelente para explorar e transformar bases grandes do OpenDataSUS, DATASUS, IBGE e arquivos Parquet; facilita criação de tabelas intermediárias e agregações para indicadores.</t>
  </si>
  <si>
    <t>Ótimo para análise local e pipelines leves. Para produção institucional, avaliar controle de acesso, auditoria, backups e integração com arquitetura de dados.</t>
  </si>
  <si>
    <t>https://duckdb.org/docs/current/</t>
  </si>
  <si>
    <t>Interoperabilidade e formato colunar</t>
  </si>
  <si>
    <t>Apache Arrow</t>
  </si>
  <si>
    <t>Formato colunar / múltiplas linguagens / open source</t>
  </si>
  <si>
    <t>Plataforma e formato colunar para intercâmbio eficiente de dados entre linguagens e sistemas, como R, Python, Spark, DuckDB e Polars.</t>
  </si>
  <si>
    <t>Ajuda a padronizar camadas intermediárias de dados, acelerar leitura/escrita e integrar pipelines entre equipes que usam R, Python e SQL.</t>
  </si>
  <si>
    <t>Não é ferramenta de limpeza por si só; funciona como infraestrutura de dados para eficiência, interoperabilidade e camadas analíticas.</t>
  </si>
  <si>
    <t>https://arrow.apache.org/docs/</t>
  </si>
  <si>
    <t>Validação de qualidade de dados</t>
  </si>
  <si>
    <t>Great Expectations</t>
  </si>
  <si>
    <t>Python / validação de dados / open source e cloud</t>
  </si>
  <si>
    <t>Permite criar testes de qualidade baseados em regras de negócio, validar dados onde eles estão e integrar resultados a CI/CD, alertas ou dashboards.</t>
  </si>
  <si>
    <t>Útil para validar completude, datas obrigatórias, faixas plausíveis de idade, códigos IBGE, categorias válidas, duplicidades e estabilidade de indicadores antes da disseminação.</t>
  </si>
  <si>
    <t>As expectativas precisam ser mantidas conforme mudam layouts, definições de caso e regras de negócio. Evitar alertas excessivos sem priorização.</t>
  </si>
  <si>
    <t>https://greatexpectations.io/</t>
  </si>
  <si>
    <t>Validação de DataFrames</t>
  </si>
  <si>
    <t>Pandera</t>
  </si>
  <si>
    <t>Python / DataFrame schemas / open source</t>
  </si>
  <si>
    <t>Permite definir schemas para validar colunas, índices, tipos, propriedades estatísticas e regras em DataFrames.</t>
  </si>
  <si>
    <t>Boa para validar bases tratadas antes de gerar indicadores ou modelos: tipos de datas, idade, sexo, classificação final, evolução, município e semana epidemiológica.</t>
  </si>
  <si>
    <t>Funciona melhor quando há dicionário de dados claro. As regras epidemiológicas precisam ser explicitadas no schema.</t>
  </si>
  <si>
    <t>https://pandera.readthedocs.io/en/stable/dataframe_schemas.html</t>
  </si>
  <si>
    <t>Testes de qualidade em pipelines</t>
  </si>
  <si>
    <t>Soda Core</t>
  </si>
  <si>
    <t>CLI / Python / data quality / open source</t>
  </si>
  <si>
    <t>Biblioteca e ferramenta de linha de comando para criar checks de qualidade de dados, conectando-se a múltiplas fontes.</t>
  </si>
  <si>
    <t>Pode monitorar completude, contagem de registros, distribuição de variáveis, quebras de schema e qualidade de tabelas de vigilância atualizadas periodicamente.</t>
  </si>
  <si>
    <t>Requer cultura de DataOps e calibração dos checks para não gerar fadiga de alertas. Integrar com orquestradores e registro de incidentes.</t>
  </si>
  <si>
    <t>https://docs.soda.io/soda-documentation/soda-v3/overview-main</t>
  </si>
  <si>
    <t>Metadados e validação tabular</t>
  </si>
  <si>
    <t>Frictionless Framework</t>
  </si>
  <si>
    <t>Python / pacotes de dados / open source</t>
  </si>
  <si>
    <t>Framework para descrever, extrair, validar e transformar dados tabulares usando padrões leves de metadados e schemas.</t>
  </si>
  <si>
    <t>Útil para estruturar bases abertas, dicionários de dados, arquivos CSV validados e pacotes de dados epidemiológicos reprodutíveis.</t>
  </si>
  <si>
    <t>Muito bom para padronização e documentação; pode exigir adaptação para microdados complexos e regras específicas de sistemas de saúde.</t>
  </si>
  <si>
    <t>https://framework.frictionlessdata.io/</t>
  </si>
  <si>
    <t>Perfilamento de dados</t>
  </si>
  <si>
    <t>ydata-profiling</t>
  </si>
  <si>
    <t>Python / perfilamento exploratório / open source</t>
  </si>
  <si>
    <t>Gera relatórios automáticos de perfilamento de DataFrames, com distribuição de variáveis, ausentes, correlações, amostras e alertas de qualidade.</t>
  </si>
  <si>
    <t>Ajuda na avaliação inicial de bases recebidas: completude, valores extremos, distribuição de idade, datas, categorias raras e inconsistências.</t>
  </si>
  <si>
    <t>Relatórios podem expor valores sensíveis ou raros. Usar em ambiente seguro e evitar compartilhar perfilamentos de microdados identificáveis.</t>
  </si>
  <si>
    <t>https://docs.profiling.ydata.ai/latest/</t>
  </si>
  <si>
    <t>DataCleaner</t>
  </si>
  <si>
    <t>Desktop / data quality / open source</t>
  </si>
  <si>
    <t>Ferramenta para perfilamento e qualidade de dados, analisando padrões, valores ausentes, formatos, conjuntos de caracteres e características dos campos.</t>
  </si>
  <si>
    <t>Apoia diagnóstico inicial de bases epidemiológicas antes da limpeza: campos com alta ausência, padrões estranhos, valores fora do esperado e inconsistências textuais.</t>
  </si>
  <si>
    <t>Avaliar manutenção, integração e segurança antes de uso institucional amplo. Não substitui pipelines reprodutíveis.</t>
  </si>
  <si>
    <t>https://datacleaner.github.io/</t>
  </si>
  <si>
    <t>Deduplicação e linkage</t>
  </si>
  <si>
    <t>Python Record Linkage Toolkit</t>
  </si>
  <si>
    <t>Python / linkage / open source</t>
  </si>
  <si>
    <t>Toolkit para vincular registros dentro ou entre fontes, com indexação, comparação de campos e classificadores.</t>
  </si>
  <si>
    <t>Útil para deduplicar notificações e relacionar registros entre notificação, laboratório, internação, vacinação e óbito, quando há chaves imperfeitas.</t>
  </si>
  <si>
    <t>Linkage em saúde exige governança forte, avaliação de erro, privacidade, validação manual de amostras e documentação dos critérios.</t>
  </si>
  <si>
    <t>https://recordlinkage.readthedocs.io/en/latest/</t>
  </si>
  <si>
    <t>Splink</t>
  </si>
  <si>
    <t>Python / linkage probabilístico / DuckDB, Spark e outros backends</t>
  </si>
  <si>
    <t>Ferramenta para linkage probabilístico e resolução de entidades, escalável para grandes bases e cenários sem identificadores únicos confiáveis.</t>
  </si>
  <si>
    <t>Indicado para deduplicação e integração de grandes bases epidemiológicas, como pareamento entre notificações, exames, internações e óbitos.</t>
  </si>
  <si>
    <t>Exige escolha cuidadosa de variáveis, limiares, bloqueios, revisão de pares duvidosos e avaliação de falso vínculo/não vínculo.</t>
  </si>
  <si>
    <t>https://moj-analytical-services.github.io/splink/</t>
  </si>
  <si>
    <t>fastLink</t>
  </si>
  <si>
    <t>R / linkage probabilístico / open source</t>
  </si>
  <si>
    <t>Pacote R para linkage probabilístico baseado em modelos do tipo Fellegi-Sunter, com tratamento de dados ausentes e informação auxiliar.</t>
  </si>
  <si>
    <t>Alternativa em R para pareamento de bases epidemiológicas, deduplicação de registros e integração de fontes sem identificador único.</t>
  </si>
  <si>
    <t>Requer avaliação de incerteza, revisão de pares, proteção de dados pessoais e comunicação transparente das limitações do linkage.</t>
  </si>
  <si>
    <t>https://cran.r-project.org/package=fastLink</t>
  </si>
  <si>
    <t>Padronização geográfica e enriquecimento territorial</t>
  </si>
  <si>
    <t>GeoPandas</t>
  </si>
  <si>
    <t>Python / dados geoespaciais / open source</t>
  </si>
  <si>
    <t>Extende pandas para trabalhar com dados geográficos, operações espaciais, geometrias, joins espaciais e arquivos geoespaciais.</t>
  </si>
  <si>
    <t>Útil para enriquecer bases com malhas municipais, regiões de saúde, áreas de abrangência, distâncias, buffers, clusters e indicadores territoriais.</t>
  </si>
  <si>
    <t>Cuidar de CRS/projeções, mudanças de limites territoriais, malhas vigentes e risco de reidentificação em áreas pequenas.</t>
  </si>
  <si>
    <t>https://geopandas.org/en/stable/docs.html</t>
  </si>
  <si>
    <t>Geocodificação e enriquecimento geográfico</t>
  </si>
  <si>
    <t>geopy</t>
  </si>
  <si>
    <t>Python / geocodificação / open source</t>
  </si>
  <si>
    <t>Cliente Python para geocodificação e cálculo de distâncias usando diferentes serviços de geocodificação.</t>
  </si>
  <si>
    <t>Pode apoiar enriquecimento de endereços, cálculo de distância a serviços, atribuição territorial e análises de acesso, quando permitido e necessário.</t>
  </si>
  <si>
    <t>Endereços são altamente sensíveis. Usar com base legal, minimização, serviços confiáveis, controle de envio a terceiros e preferencialmente geocodificação local/institucional.</t>
  </si>
  <si>
    <t>https://geopy.readthedocs.io/</t>
  </si>
  <si>
    <t>Padronização territorial brasileira</t>
  </si>
  <si>
    <t>geobr</t>
  </si>
  <si>
    <t>R / dados geoespaciais do Brasil / open source</t>
  </si>
  <si>
    <t>Pacote R para baixar conjuntos de dados espaciais oficiais do Brasil, como municípios, estados, setores censitários e outras malhas.</t>
  </si>
  <si>
    <t>Facilita enriquecer bases epidemiológicas com geometrias e recortes territoriais brasileiros para mapas, indicadores espaciais e agregações.</t>
  </si>
  <si>
    <t>Verificar ano da malha, compatibilidade com códigos IBGE e escala adequada. Agregar dados sensíveis quando necessário.</t>
  </si>
  <si>
    <t>https://ipeagit.github.io/geobr/</t>
  </si>
  <si>
    <t>sidrar</t>
  </si>
  <si>
    <t>R / API SIDRA-IBGE / open source</t>
  </si>
  <si>
    <t>Pacote R para acessar dados do SIDRA/IBGE, permitindo recuperar tabelas estatísticas por API.</t>
  </si>
  <si>
    <t>Útil para enriquecer bases epidemiológicas com denominadores populacionais, características demográficas, renda, escolaridade e indicadores contextuais.</t>
  </si>
  <si>
    <t>Cuidar da compatibilidade temporal entre denominadores e eventos; documentar tabela, período, variável e nível territorial usado.</t>
  </si>
  <si>
    <t>https://cran.r-project.org/package=sidrar</t>
  </si>
  <si>
    <t>Enriquecimento com dados demográficos</t>
  </si>
  <si>
    <t>censobr</t>
  </si>
  <si>
    <t>R / Censo Demográfico brasileiro / open source</t>
  </si>
  <si>
    <t>Pacote para baixar e trabalhar com dados do Censo Demográfico brasileiro em R.</t>
  </si>
  <si>
    <t>Ajuda a adicionar variáveis contextuais e denominadores para análises de desigualdade, vulnerabilidade, população sob risco e padronização de taxas.</t>
  </si>
  <si>
    <t>Cuidar de compatibilidade entre anos, mudanças territoriais, nível de agregação e interpretação ecológica.</t>
  </si>
  <si>
    <t>https://ipeagit.github.io/censobr/</t>
  </si>
  <si>
    <t>Enriquecimento climático e ambiental</t>
  </si>
  <si>
    <t>INMET API / bdmetr</t>
  </si>
  <si>
    <t>R / dados meteorológicos / Brasil</t>
  </si>
  <si>
    <t>Acesso e tratamento de dados meteorológicos do INMET para séries históricas e estações.</t>
  </si>
  <si>
    <t>Útil para enriquecer análises de arboviroses, doenças respiratórias, clima e saúde, usando chuva, temperatura, umidade e defasagens temporais.</t>
  </si>
  <si>
    <t>Tratar lacunas de estações, representatividade espacial, interpolação, defasagens e compatibilização com semana epidemiológica.</t>
  </si>
  <si>
    <t>https://github.com/pachadotdev/bdmetr</t>
  </si>
  <si>
    <t>NLP e padronização textual</t>
  </si>
  <si>
    <t>spaCy</t>
  </si>
  <si>
    <t>Python / NLP / open source</t>
  </si>
  <si>
    <t>Biblioteca para processamento de linguagem natural, tokenização, entidades, vetores, pipelines e modelos multilíngues.</t>
  </si>
  <si>
    <t>Pode apoiar limpeza e enriquecimento de textos de notificações, descrições clínicas, boletins, rumores, notícias e campos livres, extraindo termos e entidades relevantes.</t>
  </si>
  <si>
    <t>Textos de saúde podem conter dados sensíveis. Modelos devem ser avaliados em português e no domínio epidemiológico antes de uso operacional.</t>
  </si>
  <si>
    <t>https://spacy.io/usage</t>
  </si>
  <si>
    <t>NLTK</t>
  </si>
  <si>
    <t>Python / NLP / ensino e prototipagem / open source</t>
  </si>
  <si>
    <t>Toolkit para processamento de linguagem natural com tokenização, stemming, corpora, classificação e recursos educacionais.</t>
  </si>
  <si>
    <t>Útil para prototipar limpeza de textos, remoção de stopwords, normalização de termos e experimentos com campos textuais ou documentos epidemiológicos.</t>
  </si>
  <si>
    <t>Mais adequado a prototipagem/ensino do que produção moderna de NLP. Validar desempenho em português e em textos de saúde.</t>
  </si>
  <si>
    <t>https://www.nltk.org/</t>
  </si>
  <si>
    <t>Qualidade e mascaramento corporativo</t>
  </si>
  <si>
    <t>Talend Data Quality</t>
  </si>
  <si>
    <t>Plataforma corporativa / integração e qualidade de dados</t>
  </si>
  <si>
    <t>Ferramentas para perfilamento, limpeza, padronização, deduplicação, enriquecimento e mascaramento de dados em ambientes corporativos.</t>
  </si>
  <si>
    <t>Pode apoiar rotinas institucionais de padronização, qualidade, governança e proteção de dados sensíveis de saúde em pipelines maiores.</t>
  </si>
  <si>
    <t>Solução comercial; avaliar custo, implantação, integração com infraestrutura pública, LGPD, controle de acesso e auditoria.</t>
  </si>
  <si>
    <t>https://www.talend.com/products/data-quality/</t>
  </si>
  <si>
    <t>Preparação visual de dados</t>
  </si>
  <si>
    <t>Alteryx Designer Cloud / Trifacta</t>
  </si>
  <si>
    <t>Plataforma visual / preparação de dados / comercial</t>
  </si>
  <si>
    <t>Ferramenta visual de data wrangling para preparar, limpar, combinar, transformar e operacionalizar fluxos de dados.</t>
  </si>
  <si>
    <t>Útil para equipes mistas com epidemiologistas e analistas que precisam construir rotinas de preparação sem escrever todo o código.</t>
  </si>
  <si>
    <t>Avaliar licenciamento, uso em nuvem, localização dos dados, segurança e aderência à LGPD para dados sensíveis.</t>
  </si>
  <si>
    <t>https://www.alteryx.com/about-us/trifacta-is-now-alteryx-designer-cloud</t>
  </si>
  <si>
    <t>Extração e limpeza de tabelas em PDF</t>
  </si>
  <si>
    <t>Tabula</t>
  </si>
  <si>
    <t>Desktop / extração de tabelas de PDF / open source</t>
  </si>
  <si>
    <t>Ferramenta para extrair tabelas de arquivos PDF para formatos tabulares como CSV.</t>
  </si>
  <si>
    <t>Pode ajudar a transformar boletins, relatórios e documentos PDF em tabelas reutilizáveis para análise ou validação com bases estruturadas.</t>
  </si>
  <si>
    <t>A extração pode gerar erros de coluna, linhas quebradas e números mal interpretados. Sempre revisar e validar contra a fonte original.</t>
  </si>
  <si>
    <t>https://tabula.technology/</t>
  </si>
  <si>
    <t>Camelot</t>
  </si>
  <si>
    <t>Python / extração de tabelas de PDF / open source</t>
  </si>
  <si>
    <t>Biblioteca Python para extrair tabelas de PDFs, especialmente quando há estruturas tabulares detectáveis.</t>
  </si>
  <si>
    <t>Útil para automatizar extração de tabelas de boletins epidemiológicos, relatórios técnicos, anexos e documentos administrativos.</t>
  </si>
  <si>
    <t>Não funciona igualmente bem em PDFs escaneados. Exige validação manual/amostral, especialmente para números usados em indicadores oficiais.</t>
  </si>
  <si>
    <t>https://camelot-py.readthedocs.io/</t>
  </si>
  <si>
    <t>Orquestração de pré-processamento</t>
  </si>
  <si>
    <t>Apache Airflow</t>
  </si>
  <si>
    <t>Workflows / pipelines / open source</t>
  </si>
  <si>
    <t>Plataforma para programar, agendar, monitorar e orquestrar fluxos de trabalho de dados.</t>
  </si>
  <si>
    <t>Permite automatizar ingestão, limpeza, validação, enriquecimento e geração de bases tratadas semanais ou diárias para vigilância.</t>
  </si>
  <si>
    <t>Não limpa dados diretamente; orquestra scripts e tarefas. Requer governança de credenciais, logs, retries e tratamento de falhas.</t>
  </si>
  <si>
    <t>https://airflow.apache.org/docs/</t>
  </si>
  <si>
    <t>Dagster</t>
  </si>
  <si>
    <t>Orquestração de dados / assets / open source e cloud</t>
  </si>
  <si>
    <t>Orquestrador focado em data assets, materializações, dependências, observabilidade e execução de pipelines.</t>
  </si>
  <si>
    <t>Ajuda a organizar pipelines de bases brutas, tratadas, indicadores e produtos analíticos com dependências explícitas e rastreabilidade.</t>
  </si>
  <si>
    <t>Exige desenho da arquitetura de assets e adoção pela equipe. Integrar com ferramentas de qualidade e governança.</t>
  </si>
  <si>
    <t>https://docs.dagster.io/</t>
  </si>
  <si>
    <t>Versionamento e reprodutibilidade de dados</t>
  </si>
  <si>
    <t>DVC</t>
  </si>
  <si>
    <t>Versionamento de dados/modelos / open source</t>
  </si>
  <si>
    <t>Ferramenta para versionar dados, modelos e pipelines em conjunto com Git, mantendo arquivos grandes fora do repositório principal.</t>
  </si>
  <si>
    <t>Ajuda a rastrear versões de bases brutas e tratadas, features, modelos e resultados, especialmente em projetos reprodutíveis de vigilância.</t>
  </si>
  <si>
    <t>Não deve versionar dados sensíveis em locais inseguros. Planejar armazenamento remoto, permissões, criptografia e política de retenção.</t>
  </si>
  <si>
    <t>https://dvc.org/doc</t>
  </si>
  <si>
    <t>quantidade_de_ferramentas</t>
  </si>
  <si>
    <t>campo</t>
  </si>
  <si>
    <t>valor</t>
  </si>
  <si>
    <t>objetivo</t>
  </si>
  <si>
    <t>Listar ferramentas úteis para a etapa de pré-processamento, limpeza, formatação e enriquecimento de dados em vigilância epidemiológica e ciência de dados.</t>
  </si>
  <si>
    <t>colunas</t>
  </si>
  <si>
    <t>categoria; ferramenta; escopo; conteúdo principal; potencial para VE e ciência de dados; cuidados/observações; fonte</t>
  </si>
  <si>
    <t>total_ferramentas</t>
  </si>
  <si>
    <t>data_geracao</t>
  </si>
  <si>
    <t>2026-05-25</t>
  </si>
  <si>
    <t>observacao</t>
  </si>
  <si>
    <t>As fontes são URLs oficiais ou documentação pública das ferramentas. A adoção institucional deve considerar LGPD, segurança, suporte, manutenção, custo, infraestrutura e maturidade da equipe.</t>
  </si>
  <si>
    <t>ferramentas_sugeridas</t>
  </si>
  <si>
    <t>quando_usar</t>
  </si>
  <si>
    <t>principais_entregaveis</t>
  </si>
  <si>
    <t>Limpeza exploratória e curadoria assistida</t>
  </si>
  <si>
    <t>OpenRefine; janitor; pyjanitor; DataCleaner; ydata-profiling</t>
  </si>
  <si>
    <t>Quando a equipe precisa diagnosticar valores ausentes, categorias inconsistentes, textos sujos e problemas de formatação.</t>
  </si>
  <si>
    <t>Relatório de perfilamento; tabelas limpas; padronização de campos; logs de transformação.</t>
  </si>
  <si>
    <t>Pipelines tabulares reprodutíveis</t>
  </si>
  <si>
    <t>pandas; dplyr; tidyr; Polars; DuckDB; Apache Arrow</t>
  </si>
  <si>
    <t>Quando a limpeza precisa ser repetida em bases recorrentes ou volumosas.</t>
  </si>
  <si>
    <t>Scripts reprodutíveis; tabelas tratadas; arquivos Parquet/CSV; agregações por tempo e território.</t>
  </si>
  <si>
    <t>Validação de qualidade e contratos de dados</t>
  </si>
  <si>
    <t>Great Expectations; Pandera; Soda Core; Frictionless Framework</t>
  </si>
  <si>
    <t>Quando é necessário garantir schema, completude, faixas plausíveis e consistência antes de indicadores ou modelos.</t>
  </si>
  <si>
    <t>Relatórios de qualidade; expectativas/checks; schemas; alertas de quebra; trilhas de auditoria.</t>
  </si>
  <si>
    <t>Deduplicação e linkage entre sistemas</t>
  </si>
  <si>
    <t>Python Record Linkage Toolkit; Splink; fastLink</t>
  </si>
  <si>
    <t>Quando é necessário integrar notificação, laboratório, internação, vacinação ou óbito sem chave única confiável.</t>
  </si>
  <si>
    <t>Pares vinculados; escore de similaridade; bases deduplicadas; documentação de critérios.</t>
  </si>
  <si>
    <t>Enriquecimento territorial brasileiro</t>
  </si>
  <si>
    <t>GeoPandas; geopy; geobr; sidrar; censobr</t>
  </si>
  <si>
    <t>Quando a análise precisa agregar por município, região de saúde, setor, população sob risco ou determinantes sociais.</t>
  </si>
  <si>
    <t>Códigos territoriais padronizados; geometrias; denominadores; indicadores contextuais; mapas-base.</t>
  </si>
  <si>
    <t>Enriquecimento ambiental e climático</t>
  </si>
  <si>
    <t>INMET API / bdmetr; DuckDB; pandas; dplyr</t>
  </si>
  <si>
    <t>Quando agravos como arboviroses ou doenças respiratórias requerem variáveis de chuva, temperatura ou umidade.</t>
  </si>
  <si>
    <t>Séries climáticas; variáveis defasadas; tabelas município/semana; bases enriquecidas.</t>
  </si>
  <si>
    <t>Extração de tabelas de documentos</t>
  </si>
  <si>
    <t>Tabula; Camelot; pandas; OpenRefine</t>
  </si>
  <si>
    <t>Quando dados úteis estão em boletins PDF, relatórios técnicos ou anexos tabulares.</t>
  </si>
  <si>
    <t>CSV extraído; tabela revisada; base estruturada; documentação de validação contra fonte.</t>
  </si>
  <si>
    <t>Texto livre e NLP no pré-processamento</t>
  </si>
  <si>
    <t>spaCy; NLTK; pandas; pyjanitor</t>
  </si>
  <si>
    <t>Quando campos livres, rumores, notícias ou descrições clínicas precisam ser limpos e estruturados.</t>
  </si>
  <si>
    <t>Tokens; entidades; categorias; variáveis textuais; indicadores de texto.</t>
  </si>
  <si>
    <t>Orquestração e reprodutibilidade operacional</t>
  </si>
  <si>
    <t>Apache Airflow; Dagster; DVC; Great Expectations; DuckDB</t>
  </si>
  <si>
    <t>Quando o fluxo precisa rodar periodicamente com logs, dependências, retries e versionamento.</t>
  </si>
  <si>
    <t>DAGs; data assets; snapshots; logs; bases tratadas versionadas; checks automatizados.</t>
  </si>
  <si>
    <t>rank_balanceado</t>
  </si>
  <si>
    <t>rank_popularidade_geral</t>
  </si>
  <si>
    <t>rank_uso_institucional_ve</t>
  </si>
  <si>
    <t>rank_especificidade_ve</t>
  </si>
  <si>
    <t>rank_adequacao_informes</t>
  </si>
  <si>
    <t>score_balanceado</t>
  </si>
  <si>
    <t>popularidade_geral_1a5</t>
  </si>
  <si>
    <t>uso_institucional_ve_1a5</t>
  </si>
  <si>
    <t>especificidade_ve_1a5</t>
  </si>
  <si>
    <t>adequacao_informes_1a5</t>
  </si>
  <si>
    <t>nota_criterio_ranking</t>
  </si>
  <si>
    <t>tipo</t>
  </si>
  <si>
    <t>gratuita_ou_paga</t>
  </si>
  <si>
    <t>generica_ou_especifica_ve</t>
  </si>
  <si>
    <t>uso_no_contexto_ve</t>
  </si>
  <si>
    <t>casos_de_aplicacao_na_area</t>
  </si>
  <si>
    <t>formatos_de_divulgacao</t>
  </si>
  <si>
    <t>publico_alvo</t>
  </si>
  <si>
    <t>thumbnail_url</t>
  </si>
  <si>
    <t>Splink recebeu score considerando popularidade geral (4/5), utilidade institucional em VE (4/5), especificidade para VE (3/5) e adequação à etapa de pré-processamento/enriquecimento (5/5).</t>
  </si>
  <si>
    <t>Biblioteca Python</t>
  </si>
  <si>
    <t>A verificar conforme implantação/licenciamento</t>
  </si>
  <si>
    <t>Genérica, com forte aplicação em VE/saúde pública</t>
  </si>
  <si>
    <t>Alto</t>
  </si>
  <si>
    <t>Bases tratadas; tabelas padronizadas; schemas; relatórios de qualidade; datasets enriquecidos; logs de transformação</t>
  </si>
  <si>
    <t>Analistas de dados, epidemiologistas, cientistas de dados, engenharia de dados e equipes de vigilância</t>
  </si>
  <si>
    <t>https://www.google.com/s2/favicons?domain=moj-analytical-services.github.io&amp;sz=64</t>
  </si>
  <si>
    <t>GeoPandas recebeu score considerando popularidade geral (5/5), utilidade institucional em VE (4/5), especificidade para VE (1/5) e adequação à etapa de pré-processamento/enriquecimento (5/5).</t>
  </si>
  <si>
    <t>Gratuita/open source; custos de infraestrutura/suporte podem existir</t>
  </si>
  <si>
    <t>Genérica</t>
  </si>
  <si>
    <t>https://www.google.com/s2/favicons?domain=geopandas.org&amp;sz=64</t>
  </si>
  <si>
    <t>censobr recebeu score considerando popularidade geral (4/5), utilidade institucional em VE (4/5), especificidade para VE (3/5) e adequação à etapa de pré-processamento/enriquecimento (4/5).</t>
  </si>
  <si>
    <t>Pacote R</t>
  </si>
  <si>
    <t>https://www.google.com/s2/favicons?domain=ipeagit.github.io&amp;sz=64</t>
  </si>
  <si>
    <t>fastLink recebeu score considerando popularidade geral (4/5), utilidade institucional em VE (4/5), especificidade para VE (3/5) e adequação à etapa de pré-processamento/enriquecimento (4/5).</t>
  </si>
  <si>
    <t>https://www.google.com/s2/favicons?domain=cran.r-project.org&amp;sz=64</t>
  </si>
  <si>
    <t>geobr recebeu score considerando popularidade geral (4/5), utilidade institucional em VE (4/5), especificidade para VE (3/5) e adequação à etapa de pré-processamento/enriquecimento (4/5).</t>
  </si>
  <si>
    <t>INMET API / bdmetr recebeu score considerando popularidade geral (4/5), utilidade institucional em VE (4/5), especificidade para VE (3/5) e adequação à etapa de pré-processamento/enriquecimento (4/5).</t>
  </si>
  <si>
    <t>https://www.google.com/s2/favicons?domain=github.com&amp;sz=64</t>
  </si>
  <si>
    <t>Python Record Linkage Toolkit recebeu score considerando popularidade geral (4/5), utilidade institucional em VE (4/5), especificidade para VE (3/5) e adequação à etapa de pré-processamento/enriquecimento (4/5).</t>
  </si>
  <si>
    <t>https://www.google.com/s2/favicons?domain=recordlinkage.readthedocs.io&amp;sz=64</t>
  </si>
  <si>
    <t>sidrar recebeu score considerando popularidade geral (4/5), utilidade institucional em VE (4/5), especificidade para VE (3/5) e adequação à etapa de pré-processamento/enriquecimento (4/5).</t>
  </si>
  <si>
    <t>tidyr recebeu score considerando popularidade geral (5/5), utilidade institucional em VE (3/5), especificidade para VE (1/5) e adequação à etapa de pré-processamento/enriquecimento (5/5).</t>
  </si>
  <si>
    <t>Médio</t>
  </si>
  <si>
    <t>https://www.google.com/s2/favicons?domain=tidyr.tidyverse.org&amp;sz=64</t>
  </si>
  <si>
    <t>geopy recebeu score considerando popularidade geral (4/5), utilidade institucional em VE (4/5), especificidade para VE (1/5) e adequação à etapa de pré-processamento/enriquecimento (4/5).</t>
  </si>
  <si>
    <t>https://www.google.com/s2/favicons?domain=geopy.readthedocs.io&amp;sz=64</t>
  </si>
  <si>
    <t>Apache Arrow recebeu score considerando popularidade geral (4/5), utilidade institucional em VE (3/5), especificidade para VE (1/5) e adequação à etapa de pré-processamento/enriquecimento (5/5).</t>
  </si>
  <si>
    <t>https://www.google.com/s2/favicons?domain=arrow.apache.org&amp;sz=64</t>
  </si>
  <si>
    <t>DuckDB recebeu score considerando popularidade geral (4/5), utilidade institucional em VE (3/5), especificidade para VE (1/5) e adequação à etapa de pré-processamento/enriquecimento (5/5).</t>
  </si>
  <si>
    <t>Pacote/biblioteca, programa desktop ou plataforma de preparação de dados</t>
  </si>
  <si>
    <t>https://www.google.com/s2/favicons?domain=duckdb.org&amp;sz=64</t>
  </si>
  <si>
    <t>Great Expectations recebeu score considerando popularidade geral (4/5), utilidade institucional em VE (3/5), especificidade para VE (1/5) e adequação à etapa de pré-processamento/enriquecimento (5/5).</t>
  </si>
  <si>
    <t>https://www.google.com/s2/favicons?domain=greatexpectations.io&amp;sz=64</t>
  </si>
  <si>
    <t>OpenRefine recebeu score considerando popularidade geral (4/5), utilidade institucional em VE (3/5), especificidade para VE (1/5) e adequação à etapa de pré-processamento/enriquecimento (5/5).</t>
  </si>
  <si>
    <t>Programa desktop / ferramenta visual</t>
  </si>
  <si>
    <t>https://www.google.com/s2/favicons?domain=openrefine.org&amp;sz=64</t>
  </si>
  <si>
    <t>Pandera recebeu score considerando popularidade geral (4/5), utilidade institucional em VE (3/5), especificidade para VE (1/5) e adequação à etapa de pré-processamento/enriquecimento (5/5).</t>
  </si>
  <si>
    <t>https://www.google.com/s2/favicons?domain=pandera.readthedocs.io&amp;sz=64</t>
  </si>
  <si>
    <t>Soda Core recebeu score considerando popularidade geral (4/5), utilidade institucional em VE (3/5), especificidade para VE (1/5) e adequação à etapa de pré-processamento/enriquecimento (5/5).</t>
  </si>
  <si>
    <t>https://www.google.com/s2/favicons?domain=docs.soda.io&amp;sz=64</t>
  </si>
  <si>
    <t>Alteryx Designer Cloud / Trifacta recebeu score considerando popularidade geral (4/5), utilidade institucional em VE (3/5), especificidade para VE (1/5) e adequação à etapa de pré-processamento/enriquecimento (4/5).</t>
  </si>
  <si>
    <t>Plataforma de preparação/qualidade de dados</t>
  </si>
  <si>
    <t>Paga/comercial ou com licenciamento</t>
  </si>
  <si>
    <t>https://www.google.com/s2/favicons?domain=alteryx.com&amp;sz=64</t>
  </si>
  <si>
    <t>Apache Airflow recebeu score considerando popularidade geral (4/5), utilidade institucional em VE (3/5), especificidade para VE (1/5) e adequação à etapa de pré-processamento/enriquecimento (4/5).</t>
  </si>
  <si>
    <t>https://www.google.com/s2/favicons?domain=airflow.apache.org&amp;sz=64</t>
  </si>
  <si>
    <t>Dagster recebeu score considerando popularidade geral (4/5), utilidade institucional em VE (3/5), especificidade para VE (1/5) e adequação à etapa de pré-processamento/enriquecimento (4/5).</t>
  </si>
  <si>
    <t>https://www.google.com/s2/favicons?domain=docs.dagster.io&amp;sz=64</t>
  </si>
  <si>
    <t>DataCleaner recebeu score considerando popularidade geral (4/5), utilidade institucional em VE (3/5), especificidade para VE (1/5) e adequação à etapa de pré-processamento/enriquecimento (4/5).</t>
  </si>
  <si>
    <t>https://www.google.com/s2/favicons?domain=datacleaner.github.io&amp;sz=64</t>
  </si>
  <si>
    <t>DVC recebeu score considerando popularidade geral (4/5), utilidade institucional em VE (3/5), especificidade para VE (1/5) e adequação à etapa de pré-processamento/enriquecimento (4/5).</t>
  </si>
  <si>
    <t>https://www.google.com/s2/favicons?domain=dvc.org&amp;sz=64</t>
  </si>
  <si>
    <t>Talend Data Quality recebeu score considerando popularidade geral (4/5), utilidade institucional em VE (3/5), especificidade para VE (1/5) e adequação à etapa de pré-processamento/enriquecimento (4/5).</t>
  </si>
  <si>
    <t>https://www.google.com/s2/favicons?domain=talend.com&amp;sz=64</t>
  </si>
  <si>
    <t>ydata-profiling recebeu score considerando popularidade geral (4/5), utilidade institucional em VE (3/5), especificidade para VE (1/5) e adequação à etapa de pré-processamento/enriquecimento (4/5).</t>
  </si>
  <si>
    <t>https://www.google.com/s2/favicons?domain=docs.profiling.ydata.ai&amp;sz=64</t>
  </si>
  <si>
    <t>NLTK recebeu score considerando popularidade geral (4/5), utilidade institucional em VE (3/5), especificidade para VE (1/5) e adequação à etapa de pré-processamento/enriquecimento (3/5).</t>
  </si>
  <si>
    <t>https://www.google.com/s2/favicons?domain=nltk.org&amp;sz=64</t>
  </si>
  <si>
    <t>spaCy recebeu score considerando popularidade geral (4/5), utilidade institucional em VE (3/5), especificidade para VE (1/5) e adequação à etapa de pré-processamento/enriquecimento (3/5).</t>
  </si>
  <si>
    <t>https://www.google.com/s2/favicons?domain=spacy.io&amp;sz=64</t>
  </si>
  <si>
    <t>Camelot recebeu score considerando popularidade geral (3/5), utilidade institucional em VE (3/5), especificidade para VE (2/5) e adequação à etapa de pré-processamento/enriquecimento (4/5).</t>
  </si>
  <si>
    <t>https://www.google.com/s2/favicons?domain=camelot-py.readthedocs.io&amp;sz=64</t>
  </si>
  <si>
    <t>dplyr recebeu score considerando popularidade geral (3/5), utilidade institucional em VE (3/5), especificidade para VE (2/5) e adequação à etapa de pré-processamento/enriquecimento (4/5).</t>
  </si>
  <si>
    <t>https://www.google.com/s2/favicons?domain=dplyr.tidyverse.org&amp;sz=64</t>
  </si>
  <si>
    <t>Frictionless Framework recebeu score considerando popularidade geral (3/5), utilidade institucional em VE (3/5), especificidade para VE (2/5) e adequação à etapa de pré-processamento/enriquecimento (4/5).</t>
  </si>
  <si>
    <t>https://www.google.com/s2/favicons?domain=framework.frictionlessdata.io&amp;sz=64</t>
  </si>
  <si>
    <t>janitor recebeu score considerando popularidade geral (3/5), utilidade institucional em VE (3/5), especificidade para VE (2/5) e adequação à etapa de pré-processamento/enriquecimento (4/5).</t>
  </si>
  <si>
    <t>https://www.google.com/s2/favicons?domain=sfirke.github.io&amp;sz=64</t>
  </si>
  <si>
    <t>pandas recebeu score considerando popularidade geral (3/5), utilidade institucional em VE (3/5), especificidade para VE (2/5) e adequação à etapa de pré-processamento/enriquecimento (4/5).</t>
  </si>
  <si>
    <t>https://www.google.com/s2/favicons?domain=pandas.pydata.org&amp;sz=64</t>
  </si>
  <si>
    <t>Polars recebeu score considerando popularidade geral (3/5), utilidade institucional em VE (3/5), especificidade para VE (2/5) e adequação à etapa de pré-processamento/enriquecimento (4/5).</t>
  </si>
  <si>
    <t>https://www.google.com/s2/favicons?domain=docs.pola.rs&amp;sz=64</t>
  </si>
  <si>
    <t>pyjanitor recebeu score considerando popularidade geral (3/5), utilidade institucional em VE (3/5), especificidade para VE (2/5) e adequação à etapa de pré-processamento/enriquecimento (4/5).</t>
  </si>
  <si>
    <t>https://www.google.com/s2/favicons?domain=pyjanitor-devs.github.io&amp;sz=64</t>
  </si>
  <si>
    <t>Tabula recebeu score considerando popularidade geral (3/5), utilidade institucional em VE (3/5), especificidade para VE (2/5) e adequação à etapa de pré-processamento/enriquecimento (4/5).</t>
  </si>
  <si>
    <t>https://www.google.com/s2/favicons?domain=tabula.technology&amp;sz=64</t>
  </si>
  <si>
    <t>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</si>
</sst>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1" fillId="2" borderId="0" xfId="0" applyFont="1" applyFill="1" applyAlignment="1">
      <alignment horizontal="center" vertical="top"/>
    </xf>
    <xf numFmtId="1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29"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FAA073-4438-4451-8FCC-6163246017C3}" name="FerramentasPreprocessamentoRankings" displayName="FerramentasPreprocessamentoRankings" ref="A1:Z34" headerRowDxfId="28" dataDxfId="27" totalsRowDxfId="26">
  <tableColumns count="26">
    <tableColumn id="1" xr3:uid="{41D2CA0E-627E-4D48-B02B-0904DC0BD5EE}" name="rank_balanceado" dataDxfId="25"/>
    <tableColumn id="2" xr3:uid="{3AF0EDA8-8A19-48C0-9B52-F89BDB5608BB}" name="rank_popularidade_geral" dataDxfId="24"/>
    <tableColumn id="3" xr3:uid="{69A9124C-05D0-47D8-A0DC-770882A2FCC8}" name="rank_uso_institucional_ve" dataDxfId="23"/>
    <tableColumn id="4" xr3:uid="{752845BB-A7A5-4A14-8F7E-31E146E74E89}" name="rank_especificidade_ve" dataDxfId="22"/>
    <tableColumn id="5" xr3:uid="{70ADF9EE-B36A-4E66-9012-0CCBB4D148B1}" name="rank_adequacao_informes" dataDxfId="21"/>
    <tableColumn id="6" xr3:uid="{772326A0-EF31-4619-BD50-4B0111FF8D4C}" name="score_balanceado" dataDxfId="20">
      <calculatedColumnFormula>ROUND(0.35*G2+0.35*H2+0.2*I2+0.1*J2,2)</calculatedColumnFormula>
    </tableColumn>
    <tableColumn id="7" xr3:uid="{092E84C4-1676-4F6E-9C1F-8B829E4ADEB5}" name="popularidade_geral_1a5" dataDxfId="19"/>
    <tableColumn id="8" xr3:uid="{B251A19D-6BEC-49E5-A880-1E123EA1508C}" name="uso_institucional_ve_1a5" dataDxfId="18"/>
    <tableColumn id="9" xr3:uid="{868C6BD3-E855-4C57-8976-9F45FCA0A1E8}" name="especificidade_ve_1a5" dataDxfId="17"/>
    <tableColumn id="10" xr3:uid="{728108D1-A9F2-43DC-98FA-800FDC338BAE}" name="adequacao_informes_1a5" dataDxfId="16"/>
    <tableColumn id="11" xr3:uid="{EA4C203E-D2E4-44FD-8436-110DB00E79DD}" name="nota_criterio_ranking" dataDxfId="15"/>
    <tableColumn id="12" xr3:uid="{B4B5DDFF-263F-4CDE-B6D3-638A8C775606}" name="categoria" dataDxfId="14"/>
    <tableColumn id="13" xr3:uid="{05F7D5C2-E207-40CB-9F44-99379DF2061C}" name="ferramenta" dataDxfId="13"/>
    <tableColumn id="14" xr3:uid="{4EDBBA94-03C0-4810-9F4F-32D03D04F4F3}" name="tipo" dataDxfId="12"/>
    <tableColumn id="15" xr3:uid="{1D99CD1F-B405-48A1-B3E8-63BCFB2D91BD}" name="gratuita_ou_paga" dataDxfId="11"/>
    <tableColumn id="16" xr3:uid="{C89ABD13-E182-4D65-8C1B-99EE7A56D5B7}" name="generica_ou_especifica_ve" dataDxfId="10"/>
    <tableColumn id="17" xr3:uid="{5D62DC35-ED96-4CA4-AEFD-A9C6D898B33F}" name="escopo" dataDxfId="9"/>
    <tableColumn id="18" xr3:uid="{9FA2B569-F392-4C73-8A1A-56157789B407}" name="conteudo_principal" dataDxfId="8"/>
    <tableColumn id="19" xr3:uid="{1A25C99D-93EF-4434-8A33-9ACB635A7E5B}" name="uso_no_contexto_ve" dataDxfId="7"/>
    <tableColumn id="20" xr3:uid="{0AD317A9-2AA2-4366-8D81-FA0D96F317BF}" name="casos_de_aplicacao_na_area" dataDxfId="6"/>
    <tableColumn id="21" xr3:uid="{A5F82492-CE7E-44D6-9CDB-7907EC1F4B05}" name="formatos_de_divulgacao" dataDxfId="5"/>
    <tableColumn id="22" xr3:uid="{F2EB05A2-2D1D-42E7-B03C-B96ED303F64D}" name="publico_alvo" dataDxfId="4"/>
    <tableColumn id="23" xr3:uid="{AB0C9A19-E24F-41AC-8FE9-5A69B0050A32}" name="potencial_para_ve_e_ciencia_de_dados" dataDxfId="3"/>
    <tableColumn id="24" xr3:uid="{311BFCC8-3A07-4D5B-BE3C-1A49B85469BB}" name="cuidados_observacoes" dataDxfId="2"/>
    <tableColumn id="25" xr3:uid="{EBC755F2-0608-4DF3-9E94-79B9AEA85F07}" name="fonte" dataDxfId="1"/>
    <tableColumn id="26" xr3:uid="{7C767872-1073-4621-8A67-5A9CEE783478}" name="thumbnail_url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oCategorias" displayName="ResumoCategorias" ref="A1:B26">
  <tableColumns count="2">
    <tableColumn id="1" xr3:uid="{00000000-0010-0000-0100-000001000000}" name="categoria"/>
    <tableColumn id="2" xr3:uid="{00000000-0010-0000-0100-000002000000}" name="quantidade_de_ferramen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"/>
  <sheetViews>
    <sheetView topLeftCell="K1" workbookViewId="0">
      <selection activeCell="K1" sqref="K1:K1048576"/>
    </sheetView>
  </sheetViews>
  <sheetFormatPr defaultRowHeight="13.8"/>
  <cols>
    <col min="1" max="1" width="12.796875" customWidth="1"/>
    <col min="2" max="2" width="15.296875" customWidth="1"/>
    <col min="3" max="3" width="18.8984375" customWidth="1"/>
    <col min="4" max="4" width="18.5" customWidth="1"/>
    <col min="5" max="5" width="24.296875" customWidth="1"/>
    <col min="6" max="6" width="25.69921875" customWidth="1"/>
    <col min="7" max="7" width="19.09765625" customWidth="1"/>
    <col min="11" max="11" width="30.69921875" customWidth="1"/>
  </cols>
  <sheetData>
    <row r="1" spans="1:26">
      <c r="A1" s="9" t="s">
        <v>280</v>
      </c>
      <c r="B1" s="9" t="s">
        <v>281</v>
      </c>
      <c r="C1" s="9" t="s">
        <v>282</v>
      </c>
      <c r="D1" s="9" t="s">
        <v>283</v>
      </c>
      <c r="E1" s="9" t="s">
        <v>284</v>
      </c>
      <c r="F1" s="9" t="s">
        <v>285</v>
      </c>
      <c r="G1" s="9" t="s">
        <v>286</v>
      </c>
      <c r="H1" s="9" t="s">
        <v>287</v>
      </c>
      <c r="I1" s="9" t="s">
        <v>288</v>
      </c>
      <c r="J1" s="9" t="s">
        <v>289</v>
      </c>
      <c r="K1" s="9" t="s">
        <v>290</v>
      </c>
      <c r="L1" s="9" t="s">
        <v>0</v>
      </c>
      <c r="M1" s="9" t="s">
        <v>1</v>
      </c>
      <c r="N1" s="9" t="s">
        <v>291</v>
      </c>
      <c r="O1" s="9" t="s">
        <v>292</v>
      </c>
      <c r="P1" s="9" t="s">
        <v>293</v>
      </c>
      <c r="Q1" s="9" t="s">
        <v>2</v>
      </c>
      <c r="R1" s="9" t="s">
        <v>3</v>
      </c>
      <c r="S1" s="9" t="s">
        <v>294</v>
      </c>
      <c r="T1" s="9" t="s">
        <v>295</v>
      </c>
      <c r="U1" s="9" t="s">
        <v>296</v>
      </c>
      <c r="V1" s="9" t="s">
        <v>297</v>
      </c>
      <c r="W1" s="9" t="s">
        <v>4</v>
      </c>
      <c r="X1" s="9" t="s">
        <v>5</v>
      </c>
      <c r="Y1" s="9" t="s">
        <v>6</v>
      </c>
      <c r="Z1" s="1" t="s">
        <v>298</v>
      </c>
    </row>
    <row r="2" spans="1:26">
      <c r="A2" s="10">
        <v>1</v>
      </c>
      <c r="B2" s="10">
        <v>3</v>
      </c>
      <c r="C2" s="10">
        <v>1</v>
      </c>
      <c r="D2" s="10">
        <v>1</v>
      </c>
      <c r="E2" s="10">
        <v>1</v>
      </c>
      <c r="F2" s="11">
        <f t="shared" ref="F2:F34" si="0">ROUND(0.35*G2+0.35*H2+0.2*I2+0.1*J2,2)</f>
        <v>3.9</v>
      </c>
      <c r="G2" s="10">
        <v>4</v>
      </c>
      <c r="H2" s="10">
        <v>4</v>
      </c>
      <c r="I2" s="10">
        <v>3</v>
      </c>
      <c r="J2" s="10">
        <v>5</v>
      </c>
      <c r="K2" s="12" t="s">
        <v>299</v>
      </c>
      <c r="L2" s="12" t="s">
        <v>109</v>
      </c>
      <c r="M2" s="12" t="s">
        <v>116</v>
      </c>
      <c r="N2" s="12" t="s">
        <v>300</v>
      </c>
      <c r="O2" s="12" t="s">
        <v>301</v>
      </c>
      <c r="P2" s="12" t="s">
        <v>302</v>
      </c>
      <c r="Q2" s="12" t="s">
        <v>117</v>
      </c>
      <c r="R2" s="12" t="s">
        <v>118</v>
      </c>
      <c r="S2" s="12" t="s">
        <v>303</v>
      </c>
      <c r="T2" s="12" t="s">
        <v>119</v>
      </c>
      <c r="U2" s="12" t="s">
        <v>304</v>
      </c>
      <c r="V2" s="12" t="s">
        <v>305</v>
      </c>
      <c r="W2" s="12" t="s">
        <v>119</v>
      </c>
      <c r="X2" s="12" t="s">
        <v>120</v>
      </c>
      <c r="Y2" s="12" t="s">
        <v>121</v>
      </c>
      <c r="Z2" s="12" t="s">
        <v>306</v>
      </c>
    </row>
    <row r="3" spans="1:26">
      <c r="A3" s="10">
        <v>2</v>
      </c>
      <c r="B3" s="10">
        <v>1</v>
      </c>
      <c r="C3" s="10">
        <v>2</v>
      </c>
      <c r="D3" s="10">
        <v>16</v>
      </c>
      <c r="E3" s="10">
        <v>2</v>
      </c>
      <c r="F3" s="11">
        <f t="shared" si="0"/>
        <v>3.85</v>
      </c>
      <c r="G3" s="10">
        <v>5</v>
      </c>
      <c r="H3" s="10">
        <v>4</v>
      </c>
      <c r="I3" s="10">
        <v>1</v>
      </c>
      <c r="J3" s="10">
        <v>5</v>
      </c>
      <c r="K3" s="12" t="s">
        <v>307</v>
      </c>
      <c r="L3" s="12" t="s">
        <v>128</v>
      </c>
      <c r="M3" s="12" t="s">
        <v>129</v>
      </c>
      <c r="N3" s="12" t="s">
        <v>300</v>
      </c>
      <c r="O3" s="12" t="s">
        <v>308</v>
      </c>
      <c r="P3" s="12" t="s">
        <v>309</v>
      </c>
      <c r="Q3" s="12" t="s">
        <v>130</v>
      </c>
      <c r="R3" s="12" t="s">
        <v>131</v>
      </c>
      <c r="S3" s="12" t="s">
        <v>303</v>
      </c>
      <c r="T3" s="12" t="s">
        <v>132</v>
      </c>
      <c r="U3" s="12" t="s">
        <v>304</v>
      </c>
      <c r="V3" s="12" t="s">
        <v>305</v>
      </c>
      <c r="W3" s="12" t="s">
        <v>132</v>
      </c>
      <c r="X3" s="12" t="s">
        <v>133</v>
      </c>
      <c r="Y3" s="12" t="s">
        <v>134</v>
      </c>
      <c r="Z3" s="12" t="s">
        <v>310</v>
      </c>
    </row>
    <row r="4" spans="1:26">
      <c r="A4" s="10">
        <v>3</v>
      </c>
      <c r="B4" s="10">
        <v>4</v>
      </c>
      <c r="C4" s="10">
        <v>3</v>
      </c>
      <c r="D4" s="10">
        <v>2</v>
      </c>
      <c r="E4" s="10">
        <v>10</v>
      </c>
      <c r="F4" s="11">
        <f t="shared" si="0"/>
        <v>3.8</v>
      </c>
      <c r="G4" s="10">
        <v>4</v>
      </c>
      <c r="H4" s="10">
        <v>4</v>
      </c>
      <c r="I4" s="10">
        <v>3</v>
      </c>
      <c r="J4" s="10">
        <v>4</v>
      </c>
      <c r="K4" s="12" t="s">
        <v>311</v>
      </c>
      <c r="L4" s="12" t="s">
        <v>155</v>
      </c>
      <c r="M4" s="12" t="s">
        <v>156</v>
      </c>
      <c r="N4" s="12" t="s">
        <v>312</v>
      </c>
      <c r="O4" s="12" t="s">
        <v>308</v>
      </c>
      <c r="P4" s="12" t="s">
        <v>302</v>
      </c>
      <c r="Q4" s="12" t="s">
        <v>157</v>
      </c>
      <c r="R4" s="12" t="s">
        <v>158</v>
      </c>
      <c r="S4" s="12" t="s">
        <v>303</v>
      </c>
      <c r="T4" s="12" t="s">
        <v>159</v>
      </c>
      <c r="U4" s="12" t="s">
        <v>304</v>
      </c>
      <c r="V4" s="12" t="s">
        <v>305</v>
      </c>
      <c r="W4" s="12" t="s">
        <v>159</v>
      </c>
      <c r="X4" s="12" t="s">
        <v>160</v>
      </c>
      <c r="Y4" s="12" t="s">
        <v>161</v>
      </c>
      <c r="Z4" s="12" t="s">
        <v>313</v>
      </c>
    </row>
    <row r="5" spans="1:26">
      <c r="A5" s="10">
        <v>4</v>
      </c>
      <c r="B5" s="10">
        <v>5</v>
      </c>
      <c r="C5" s="10">
        <v>4</v>
      </c>
      <c r="D5" s="10">
        <v>3</v>
      </c>
      <c r="E5" s="10">
        <v>11</v>
      </c>
      <c r="F5" s="11">
        <f t="shared" si="0"/>
        <v>3.8</v>
      </c>
      <c r="G5" s="10">
        <v>4</v>
      </c>
      <c r="H5" s="10">
        <v>4</v>
      </c>
      <c r="I5" s="10">
        <v>3</v>
      </c>
      <c r="J5" s="10">
        <v>4</v>
      </c>
      <c r="K5" s="12" t="s">
        <v>314</v>
      </c>
      <c r="L5" s="12" t="s">
        <v>109</v>
      </c>
      <c r="M5" s="12" t="s">
        <v>122</v>
      </c>
      <c r="N5" s="12" t="s">
        <v>312</v>
      </c>
      <c r="O5" s="12" t="s">
        <v>308</v>
      </c>
      <c r="P5" s="12" t="s">
        <v>302</v>
      </c>
      <c r="Q5" s="12" t="s">
        <v>123</v>
      </c>
      <c r="R5" s="12" t="s">
        <v>124</v>
      </c>
      <c r="S5" s="12" t="s">
        <v>303</v>
      </c>
      <c r="T5" s="12" t="s">
        <v>125</v>
      </c>
      <c r="U5" s="12" t="s">
        <v>304</v>
      </c>
      <c r="V5" s="12" t="s">
        <v>305</v>
      </c>
      <c r="W5" s="12" t="s">
        <v>125</v>
      </c>
      <c r="X5" s="12" t="s">
        <v>126</v>
      </c>
      <c r="Y5" s="12" t="s">
        <v>127</v>
      </c>
      <c r="Z5" s="12" t="s">
        <v>315</v>
      </c>
    </row>
    <row r="6" spans="1:26">
      <c r="A6" s="10">
        <v>5</v>
      </c>
      <c r="B6" s="10">
        <v>6</v>
      </c>
      <c r="C6" s="10">
        <v>5</v>
      </c>
      <c r="D6" s="10">
        <v>4</v>
      </c>
      <c r="E6" s="10">
        <v>12</v>
      </c>
      <c r="F6" s="11">
        <f t="shared" si="0"/>
        <v>3.8</v>
      </c>
      <c r="G6" s="10">
        <v>4</v>
      </c>
      <c r="H6" s="10">
        <v>4</v>
      </c>
      <c r="I6" s="10">
        <v>3</v>
      </c>
      <c r="J6" s="10">
        <v>4</v>
      </c>
      <c r="K6" s="12" t="s">
        <v>316</v>
      </c>
      <c r="L6" s="12" t="s">
        <v>142</v>
      </c>
      <c r="M6" s="12" t="s">
        <v>143</v>
      </c>
      <c r="N6" s="12" t="s">
        <v>312</v>
      </c>
      <c r="O6" s="12" t="s">
        <v>308</v>
      </c>
      <c r="P6" s="12" t="s">
        <v>302</v>
      </c>
      <c r="Q6" s="12" t="s">
        <v>144</v>
      </c>
      <c r="R6" s="12" t="s">
        <v>145</v>
      </c>
      <c r="S6" s="12" t="s">
        <v>303</v>
      </c>
      <c r="T6" s="12" t="s">
        <v>146</v>
      </c>
      <c r="U6" s="12" t="s">
        <v>304</v>
      </c>
      <c r="V6" s="12" t="s">
        <v>305</v>
      </c>
      <c r="W6" s="12" t="s">
        <v>146</v>
      </c>
      <c r="X6" s="12" t="s">
        <v>147</v>
      </c>
      <c r="Y6" s="12" t="s">
        <v>148</v>
      </c>
      <c r="Z6" s="12" t="s">
        <v>313</v>
      </c>
    </row>
    <row r="7" spans="1:26">
      <c r="A7" s="10">
        <v>6</v>
      </c>
      <c r="B7" s="10">
        <v>7</v>
      </c>
      <c r="C7" s="10">
        <v>6</v>
      </c>
      <c r="D7" s="10">
        <v>5</v>
      </c>
      <c r="E7" s="10">
        <v>13</v>
      </c>
      <c r="F7" s="11">
        <f t="shared" si="0"/>
        <v>3.8</v>
      </c>
      <c r="G7" s="10">
        <v>4</v>
      </c>
      <c r="H7" s="10">
        <v>4</v>
      </c>
      <c r="I7" s="10">
        <v>3</v>
      </c>
      <c r="J7" s="10">
        <v>4</v>
      </c>
      <c r="K7" s="12" t="s">
        <v>317</v>
      </c>
      <c r="L7" s="12" t="s">
        <v>162</v>
      </c>
      <c r="M7" s="12" t="s">
        <v>163</v>
      </c>
      <c r="N7" s="12" t="s">
        <v>312</v>
      </c>
      <c r="O7" s="12" t="s">
        <v>301</v>
      </c>
      <c r="P7" s="12" t="s">
        <v>302</v>
      </c>
      <c r="Q7" s="12" t="s">
        <v>164</v>
      </c>
      <c r="R7" s="12" t="s">
        <v>165</v>
      </c>
      <c r="S7" s="12" t="s">
        <v>303</v>
      </c>
      <c r="T7" s="12" t="s">
        <v>166</v>
      </c>
      <c r="U7" s="12" t="s">
        <v>304</v>
      </c>
      <c r="V7" s="12" t="s">
        <v>305</v>
      </c>
      <c r="W7" s="12" t="s">
        <v>166</v>
      </c>
      <c r="X7" s="12" t="s">
        <v>167</v>
      </c>
      <c r="Y7" s="12" t="s">
        <v>168</v>
      </c>
      <c r="Z7" s="12" t="s">
        <v>318</v>
      </c>
    </row>
    <row r="8" spans="1:26">
      <c r="A8" s="10">
        <v>7</v>
      </c>
      <c r="B8" s="10">
        <v>8</v>
      </c>
      <c r="C8" s="10">
        <v>7</v>
      </c>
      <c r="D8" s="10">
        <v>6</v>
      </c>
      <c r="E8" s="10">
        <v>14</v>
      </c>
      <c r="F8" s="11">
        <f t="shared" si="0"/>
        <v>3.8</v>
      </c>
      <c r="G8" s="10">
        <v>4</v>
      </c>
      <c r="H8" s="10">
        <v>4</v>
      </c>
      <c r="I8" s="10">
        <v>3</v>
      </c>
      <c r="J8" s="10">
        <v>4</v>
      </c>
      <c r="K8" s="12" t="s">
        <v>319</v>
      </c>
      <c r="L8" s="12" t="s">
        <v>109</v>
      </c>
      <c r="M8" s="12" t="s">
        <v>110</v>
      </c>
      <c r="N8" s="12" t="s">
        <v>300</v>
      </c>
      <c r="O8" s="12" t="s">
        <v>308</v>
      </c>
      <c r="P8" s="12" t="s">
        <v>302</v>
      </c>
      <c r="Q8" s="12" t="s">
        <v>111</v>
      </c>
      <c r="R8" s="12" t="s">
        <v>112</v>
      </c>
      <c r="S8" s="12" t="s">
        <v>303</v>
      </c>
      <c r="T8" s="12" t="s">
        <v>113</v>
      </c>
      <c r="U8" s="12" t="s">
        <v>304</v>
      </c>
      <c r="V8" s="12" t="s">
        <v>305</v>
      </c>
      <c r="W8" s="12" t="s">
        <v>113</v>
      </c>
      <c r="X8" s="12" t="s">
        <v>114</v>
      </c>
      <c r="Y8" s="12" t="s">
        <v>115</v>
      </c>
      <c r="Z8" s="12" t="s">
        <v>320</v>
      </c>
    </row>
    <row r="9" spans="1:26">
      <c r="A9" s="10">
        <v>8</v>
      </c>
      <c r="B9" s="10">
        <v>9</v>
      </c>
      <c r="C9" s="10">
        <v>8</v>
      </c>
      <c r="D9" s="10">
        <v>7</v>
      </c>
      <c r="E9" s="10">
        <v>15</v>
      </c>
      <c r="F9" s="11">
        <f t="shared" si="0"/>
        <v>3.8</v>
      </c>
      <c r="G9" s="10">
        <v>4</v>
      </c>
      <c r="H9" s="10">
        <v>4</v>
      </c>
      <c r="I9" s="10">
        <v>3</v>
      </c>
      <c r="J9" s="10">
        <v>4</v>
      </c>
      <c r="K9" s="12" t="s">
        <v>321</v>
      </c>
      <c r="L9" s="12" t="s">
        <v>142</v>
      </c>
      <c r="M9" s="12" t="s">
        <v>149</v>
      </c>
      <c r="N9" s="12" t="s">
        <v>312</v>
      </c>
      <c r="O9" s="12" t="s">
        <v>308</v>
      </c>
      <c r="P9" s="12" t="s">
        <v>302</v>
      </c>
      <c r="Q9" s="12" t="s">
        <v>150</v>
      </c>
      <c r="R9" s="12" t="s">
        <v>151</v>
      </c>
      <c r="S9" s="12" t="s">
        <v>303</v>
      </c>
      <c r="T9" s="12" t="s">
        <v>152</v>
      </c>
      <c r="U9" s="12" t="s">
        <v>304</v>
      </c>
      <c r="V9" s="12" t="s">
        <v>305</v>
      </c>
      <c r="W9" s="12" t="s">
        <v>152</v>
      </c>
      <c r="X9" s="12" t="s">
        <v>153</v>
      </c>
      <c r="Y9" s="12" t="s">
        <v>154</v>
      </c>
      <c r="Z9" s="12" t="s">
        <v>315</v>
      </c>
    </row>
    <row r="10" spans="1:26">
      <c r="A10" s="10">
        <v>9</v>
      </c>
      <c r="B10" s="10">
        <v>2</v>
      </c>
      <c r="C10" s="10">
        <v>10</v>
      </c>
      <c r="D10" s="10">
        <v>17</v>
      </c>
      <c r="E10" s="10">
        <v>3</v>
      </c>
      <c r="F10" s="11">
        <f t="shared" si="0"/>
        <v>3.5</v>
      </c>
      <c r="G10" s="10">
        <v>5</v>
      </c>
      <c r="H10" s="10">
        <v>3</v>
      </c>
      <c r="I10" s="10">
        <v>1</v>
      </c>
      <c r="J10" s="10">
        <v>5</v>
      </c>
      <c r="K10" s="12" t="s">
        <v>322</v>
      </c>
      <c r="L10" s="12" t="s">
        <v>34</v>
      </c>
      <c r="M10" s="12" t="s">
        <v>35</v>
      </c>
      <c r="N10" s="12" t="s">
        <v>312</v>
      </c>
      <c r="O10" s="12" t="s">
        <v>308</v>
      </c>
      <c r="P10" s="12" t="s">
        <v>309</v>
      </c>
      <c r="Q10" s="12" t="s">
        <v>29</v>
      </c>
      <c r="R10" s="12" t="s">
        <v>36</v>
      </c>
      <c r="S10" s="12" t="s">
        <v>323</v>
      </c>
      <c r="T10" s="12" t="s">
        <v>37</v>
      </c>
      <c r="U10" s="12" t="s">
        <v>304</v>
      </c>
      <c r="V10" s="12" t="s">
        <v>305</v>
      </c>
      <c r="W10" s="12" t="s">
        <v>37</v>
      </c>
      <c r="X10" s="12" t="s">
        <v>38</v>
      </c>
      <c r="Y10" s="12" t="s">
        <v>39</v>
      </c>
      <c r="Z10" s="12" t="s">
        <v>324</v>
      </c>
    </row>
    <row r="11" spans="1:26">
      <c r="A11" s="10">
        <v>10</v>
      </c>
      <c r="B11" s="10">
        <v>10</v>
      </c>
      <c r="C11" s="10">
        <v>9</v>
      </c>
      <c r="D11" s="10">
        <v>18</v>
      </c>
      <c r="E11" s="10">
        <v>16</v>
      </c>
      <c r="F11" s="11">
        <f t="shared" si="0"/>
        <v>3.4</v>
      </c>
      <c r="G11" s="10">
        <v>4</v>
      </c>
      <c r="H11" s="10">
        <v>4</v>
      </c>
      <c r="I11" s="10">
        <v>1</v>
      </c>
      <c r="J11" s="10">
        <v>4</v>
      </c>
      <c r="K11" s="12" t="s">
        <v>325</v>
      </c>
      <c r="L11" s="12" t="s">
        <v>135</v>
      </c>
      <c r="M11" s="12" t="s">
        <v>136</v>
      </c>
      <c r="N11" s="12" t="s">
        <v>300</v>
      </c>
      <c r="O11" s="12" t="s">
        <v>308</v>
      </c>
      <c r="P11" s="12" t="s">
        <v>309</v>
      </c>
      <c r="Q11" s="12" t="s">
        <v>137</v>
      </c>
      <c r="R11" s="12" t="s">
        <v>138</v>
      </c>
      <c r="S11" s="12" t="s">
        <v>303</v>
      </c>
      <c r="T11" s="12" t="s">
        <v>139</v>
      </c>
      <c r="U11" s="12" t="s">
        <v>304</v>
      </c>
      <c r="V11" s="12" t="s">
        <v>305</v>
      </c>
      <c r="W11" s="12" t="s">
        <v>139</v>
      </c>
      <c r="X11" s="12" t="s">
        <v>140</v>
      </c>
      <c r="Y11" s="12" t="s">
        <v>141</v>
      </c>
      <c r="Z11" s="12" t="s">
        <v>326</v>
      </c>
    </row>
    <row r="12" spans="1:26">
      <c r="A12" s="10">
        <v>11</v>
      </c>
      <c r="B12" s="10">
        <v>11</v>
      </c>
      <c r="C12" s="10">
        <v>11</v>
      </c>
      <c r="D12" s="10">
        <v>19</v>
      </c>
      <c r="E12" s="10">
        <v>4</v>
      </c>
      <c r="F12" s="11">
        <f t="shared" si="0"/>
        <v>3.15</v>
      </c>
      <c r="G12" s="10">
        <v>4</v>
      </c>
      <c r="H12" s="10">
        <v>3</v>
      </c>
      <c r="I12" s="10">
        <v>1</v>
      </c>
      <c r="J12" s="10">
        <v>5</v>
      </c>
      <c r="K12" s="12" t="s">
        <v>327</v>
      </c>
      <c r="L12" s="12" t="s">
        <v>61</v>
      </c>
      <c r="M12" s="12" t="s">
        <v>62</v>
      </c>
      <c r="N12" s="12" t="s">
        <v>312</v>
      </c>
      <c r="O12" s="12" t="s">
        <v>308</v>
      </c>
      <c r="P12" s="12" t="s">
        <v>309</v>
      </c>
      <c r="Q12" s="12" t="s">
        <v>63</v>
      </c>
      <c r="R12" s="12" t="s">
        <v>64</v>
      </c>
      <c r="S12" s="12" t="s">
        <v>323</v>
      </c>
      <c r="T12" s="12" t="s">
        <v>65</v>
      </c>
      <c r="U12" s="12" t="s">
        <v>304</v>
      </c>
      <c r="V12" s="12" t="s">
        <v>305</v>
      </c>
      <c r="W12" s="12" t="s">
        <v>65</v>
      </c>
      <c r="X12" s="12" t="s">
        <v>66</v>
      </c>
      <c r="Y12" s="12" t="s">
        <v>67</v>
      </c>
      <c r="Z12" s="12" t="s">
        <v>328</v>
      </c>
    </row>
    <row r="13" spans="1:26">
      <c r="A13" s="10">
        <v>12</v>
      </c>
      <c r="B13" s="10">
        <v>12</v>
      </c>
      <c r="C13" s="10">
        <v>12</v>
      </c>
      <c r="D13" s="10">
        <v>20</v>
      </c>
      <c r="E13" s="10">
        <v>5</v>
      </c>
      <c r="F13" s="11">
        <f t="shared" si="0"/>
        <v>3.15</v>
      </c>
      <c r="G13" s="10">
        <v>4</v>
      </c>
      <c r="H13" s="10">
        <v>3</v>
      </c>
      <c r="I13" s="10">
        <v>1</v>
      </c>
      <c r="J13" s="10">
        <v>5</v>
      </c>
      <c r="K13" s="12" t="s">
        <v>329</v>
      </c>
      <c r="L13" s="12" t="s">
        <v>54</v>
      </c>
      <c r="M13" s="12" t="s">
        <v>55</v>
      </c>
      <c r="N13" s="12" t="s">
        <v>330</v>
      </c>
      <c r="O13" s="12" t="s">
        <v>308</v>
      </c>
      <c r="P13" s="12" t="s">
        <v>309</v>
      </c>
      <c r="Q13" s="12" t="s">
        <v>56</v>
      </c>
      <c r="R13" s="12" t="s">
        <v>57</v>
      </c>
      <c r="S13" s="12" t="s">
        <v>323</v>
      </c>
      <c r="T13" s="12" t="s">
        <v>58</v>
      </c>
      <c r="U13" s="12" t="s">
        <v>304</v>
      </c>
      <c r="V13" s="12" t="s">
        <v>305</v>
      </c>
      <c r="W13" s="12" t="s">
        <v>58</v>
      </c>
      <c r="X13" s="12" t="s">
        <v>59</v>
      </c>
      <c r="Y13" s="12" t="s">
        <v>60</v>
      </c>
      <c r="Z13" s="12" t="s">
        <v>331</v>
      </c>
    </row>
    <row r="14" spans="1:26">
      <c r="A14" s="10">
        <v>13</v>
      </c>
      <c r="B14" s="10">
        <v>13</v>
      </c>
      <c r="C14" s="10">
        <v>13</v>
      </c>
      <c r="D14" s="10">
        <v>21</v>
      </c>
      <c r="E14" s="10">
        <v>6</v>
      </c>
      <c r="F14" s="11">
        <f t="shared" si="0"/>
        <v>3.15</v>
      </c>
      <c r="G14" s="10">
        <v>4</v>
      </c>
      <c r="H14" s="10">
        <v>3</v>
      </c>
      <c r="I14" s="10">
        <v>1</v>
      </c>
      <c r="J14" s="10">
        <v>5</v>
      </c>
      <c r="K14" s="12" t="s">
        <v>332</v>
      </c>
      <c r="L14" s="12" t="s">
        <v>68</v>
      </c>
      <c r="M14" s="12" t="s">
        <v>69</v>
      </c>
      <c r="N14" s="12" t="s">
        <v>300</v>
      </c>
      <c r="O14" s="12" t="s">
        <v>308</v>
      </c>
      <c r="P14" s="12" t="s">
        <v>309</v>
      </c>
      <c r="Q14" s="12" t="s">
        <v>70</v>
      </c>
      <c r="R14" s="12" t="s">
        <v>71</v>
      </c>
      <c r="S14" s="12" t="s">
        <v>323</v>
      </c>
      <c r="T14" s="12" t="s">
        <v>72</v>
      </c>
      <c r="U14" s="12" t="s">
        <v>304</v>
      </c>
      <c r="V14" s="12" t="s">
        <v>305</v>
      </c>
      <c r="W14" s="12" t="s">
        <v>72</v>
      </c>
      <c r="X14" s="12" t="s">
        <v>73</v>
      </c>
      <c r="Y14" s="12" t="s">
        <v>74</v>
      </c>
      <c r="Z14" s="12" t="s">
        <v>333</v>
      </c>
    </row>
    <row r="15" spans="1:26">
      <c r="A15" s="10">
        <v>14</v>
      </c>
      <c r="B15" s="10">
        <v>14</v>
      </c>
      <c r="C15" s="10">
        <v>14</v>
      </c>
      <c r="D15" s="10">
        <v>22</v>
      </c>
      <c r="E15" s="10">
        <v>7</v>
      </c>
      <c r="F15" s="11">
        <f t="shared" si="0"/>
        <v>3.15</v>
      </c>
      <c r="G15" s="10">
        <v>4</v>
      </c>
      <c r="H15" s="10">
        <v>3</v>
      </c>
      <c r="I15" s="10">
        <v>1</v>
      </c>
      <c r="J15" s="10">
        <v>5</v>
      </c>
      <c r="K15" s="12" t="s">
        <v>334</v>
      </c>
      <c r="L15" s="12" t="s">
        <v>7</v>
      </c>
      <c r="M15" s="12" t="s">
        <v>8</v>
      </c>
      <c r="N15" s="12" t="s">
        <v>335</v>
      </c>
      <c r="O15" s="12" t="s">
        <v>308</v>
      </c>
      <c r="P15" s="12" t="s">
        <v>309</v>
      </c>
      <c r="Q15" s="12" t="s">
        <v>9</v>
      </c>
      <c r="R15" s="12" t="s">
        <v>10</v>
      </c>
      <c r="S15" s="12" t="s">
        <v>323</v>
      </c>
      <c r="T15" s="12" t="s">
        <v>11</v>
      </c>
      <c r="U15" s="12" t="s">
        <v>304</v>
      </c>
      <c r="V15" s="12" t="s">
        <v>305</v>
      </c>
      <c r="W15" s="12" t="s">
        <v>11</v>
      </c>
      <c r="X15" s="12" t="s">
        <v>12</v>
      </c>
      <c r="Y15" s="12" t="s">
        <v>13</v>
      </c>
      <c r="Z15" s="12" t="s">
        <v>336</v>
      </c>
    </row>
    <row r="16" spans="1:26">
      <c r="A16" s="10">
        <v>15</v>
      </c>
      <c r="B16" s="10">
        <v>15</v>
      </c>
      <c r="C16" s="10">
        <v>15</v>
      </c>
      <c r="D16" s="10">
        <v>23</v>
      </c>
      <c r="E16" s="10">
        <v>8</v>
      </c>
      <c r="F16" s="11">
        <f t="shared" si="0"/>
        <v>3.15</v>
      </c>
      <c r="G16" s="10">
        <v>4</v>
      </c>
      <c r="H16" s="10">
        <v>3</v>
      </c>
      <c r="I16" s="10">
        <v>1</v>
      </c>
      <c r="J16" s="10">
        <v>5</v>
      </c>
      <c r="K16" s="12" t="s">
        <v>337</v>
      </c>
      <c r="L16" s="12" t="s">
        <v>75</v>
      </c>
      <c r="M16" s="12" t="s">
        <v>76</v>
      </c>
      <c r="N16" s="12" t="s">
        <v>300</v>
      </c>
      <c r="O16" s="12" t="s">
        <v>308</v>
      </c>
      <c r="P16" s="12" t="s">
        <v>309</v>
      </c>
      <c r="Q16" s="12" t="s">
        <v>77</v>
      </c>
      <c r="R16" s="12" t="s">
        <v>78</v>
      </c>
      <c r="S16" s="12" t="s">
        <v>323</v>
      </c>
      <c r="T16" s="12" t="s">
        <v>79</v>
      </c>
      <c r="U16" s="12" t="s">
        <v>304</v>
      </c>
      <c r="V16" s="12" t="s">
        <v>305</v>
      </c>
      <c r="W16" s="12" t="s">
        <v>79</v>
      </c>
      <c r="X16" s="12" t="s">
        <v>80</v>
      </c>
      <c r="Y16" s="12" t="s">
        <v>81</v>
      </c>
      <c r="Z16" s="12" t="s">
        <v>338</v>
      </c>
    </row>
    <row r="17" spans="1:26">
      <c r="A17" s="10">
        <v>16</v>
      </c>
      <c r="B17" s="10">
        <v>16</v>
      </c>
      <c r="C17" s="10">
        <v>16</v>
      </c>
      <c r="D17" s="10">
        <v>24</v>
      </c>
      <c r="E17" s="10">
        <v>9</v>
      </c>
      <c r="F17" s="11">
        <f t="shared" si="0"/>
        <v>3.15</v>
      </c>
      <c r="G17" s="10">
        <v>4</v>
      </c>
      <c r="H17" s="10">
        <v>3</v>
      </c>
      <c r="I17" s="10">
        <v>1</v>
      </c>
      <c r="J17" s="10">
        <v>5</v>
      </c>
      <c r="K17" s="12" t="s">
        <v>339</v>
      </c>
      <c r="L17" s="12" t="s">
        <v>82</v>
      </c>
      <c r="M17" s="12" t="s">
        <v>83</v>
      </c>
      <c r="N17" s="12" t="s">
        <v>300</v>
      </c>
      <c r="O17" s="12" t="s">
        <v>308</v>
      </c>
      <c r="P17" s="12" t="s">
        <v>309</v>
      </c>
      <c r="Q17" s="12" t="s">
        <v>84</v>
      </c>
      <c r="R17" s="12" t="s">
        <v>85</v>
      </c>
      <c r="S17" s="12" t="s">
        <v>323</v>
      </c>
      <c r="T17" s="12" t="s">
        <v>86</v>
      </c>
      <c r="U17" s="12" t="s">
        <v>304</v>
      </c>
      <c r="V17" s="12" t="s">
        <v>305</v>
      </c>
      <c r="W17" s="12" t="s">
        <v>86</v>
      </c>
      <c r="X17" s="12" t="s">
        <v>87</v>
      </c>
      <c r="Y17" s="12" t="s">
        <v>88</v>
      </c>
      <c r="Z17" s="12" t="s">
        <v>340</v>
      </c>
    </row>
    <row r="18" spans="1:26">
      <c r="A18" s="10">
        <v>17</v>
      </c>
      <c r="B18" s="10">
        <v>17</v>
      </c>
      <c r="C18" s="10">
        <v>17</v>
      </c>
      <c r="D18" s="10">
        <v>25</v>
      </c>
      <c r="E18" s="10">
        <v>17</v>
      </c>
      <c r="F18" s="11">
        <f t="shared" si="0"/>
        <v>3.05</v>
      </c>
      <c r="G18" s="10">
        <v>4</v>
      </c>
      <c r="H18" s="10">
        <v>3</v>
      </c>
      <c r="I18" s="10">
        <v>1</v>
      </c>
      <c r="J18" s="10">
        <v>4</v>
      </c>
      <c r="K18" s="12" t="s">
        <v>341</v>
      </c>
      <c r="L18" s="12" t="s">
        <v>189</v>
      </c>
      <c r="M18" s="12" t="s">
        <v>190</v>
      </c>
      <c r="N18" s="12" t="s">
        <v>342</v>
      </c>
      <c r="O18" s="12" t="s">
        <v>343</v>
      </c>
      <c r="P18" s="12" t="s">
        <v>309</v>
      </c>
      <c r="Q18" s="12" t="s">
        <v>191</v>
      </c>
      <c r="R18" s="12" t="s">
        <v>192</v>
      </c>
      <c r="S18" s="12" t="s">
        <v>323</v>
      </c>
      <c r="T18" s="12" t="s">
        <v>193</v>
      </c>
      <c r="U18" s="12" t="s">
        <v>304</v>
      </c>
      <c r="V18" s="12" t="s">
        <v>305</v>
      </c>
      <c r="W18" s="12" t="s">
        <v>193</v>
      </c>
      <c r="X18" s="12" t="s">
        <v>194</v>
      </c>
      <c r="Y18" s="12" t="s">
        <v>195</v>
      </c>
      <c r="Z18" s="12" t="s">
        <v>344</v>
      </c>
    </row>
    <row r="19" spans="1:26">
      <c r="A19" s="10">
        <v>18</v>
      </c>
      <c r="B19" s="10">
        <v>18</v>
      </c>
      <c r="C19" s="10">
        <v>18</v>
      </c>
      <c r="D19" s="10">
        <v>26</v>
      </c>
      <c r="E19" s="10">
        <v>18</v>
      </c>
      <c r="F19" s="11">
        <f t="shared" si="0"/>
        <v>3.05</v>
      </c>
      <c r="G19" s="10">
        <v>4</v>
      </c>
      <c r="H19" s="10">
        <v>3</v>
      </c>
      <c r="I19" s="10">
        <v>1</v>
      </c>
      <c r="J19" s="10">
        <v>4</v>
      </c>
      <c r="K19" s="12" t="s">
        <v>345</v>
      </c>
      <c r="L19" s="12" t="s">
        <v>209</v>
      </c>
      <c r="M19" s="12" t="s">
        <v>210</v>
      </c>
      <c r="N19" s="12" t="s">
        <v>330</v>
      </c>
      <c r="O19" s="12" t="s">
        <v>308</v>
      </c>
      <c r="P19" s="12" t="s">
        <v>309</v>
      </c>
      <c r="Q19" s="12" t="s">
        <v>211</v>
      </c>
      <c r="R19" s="12" t="s">
        <v>212</v>
      </c>
      <c r="S19" s="12" t="s">
        <v>323</v>
      </c>
      <c r="T19" s="12" t="s">
        <v>213</v>
      </c>
      <c r="U19" s="12" t="s">
        <v>304</v>
      </c>
      <c r="V19" s="12" t="s">
        <v>305</v>
      </c>
      <c r="W19" s="12" t="s">
        <v>213</v>
      </c>
      <c r="X19" s="12" t="s">
        <v>214</v>
      </c>
      <c r="Y19" s="12" t="s">
        <v>215</v>
      </c>
      <c r="Z19" s="12" t="s">
        <v>346</v>
      </c>
    </row>
    <row r="20" spans="1:26">
      <c r="A20" s="10">
        <v>19</v>
      </c>
      <c r="B20" s="10">
        <v>19</v>
      </c>
      <c r="C20" s="10">
        <v>19</v>
      </c>
      <c r="D20" s="10">
        <v>27</v>
      </c>
      <c r="E20" s="10">
        <v>19</v>
      </c>
      <c r="F20" s="11">
        <f t="shared" si="0"/>
        <v>3.05</v>
      </c>
      <c r="G20" s="10">
        <v>4</v>
      </c>
      <c r="H20" s="10">
        <v>3</v>
      </c>
      <c r="I20" s="10">
        <v>1</v>
      </c>
      <c r="J20" s="10">
        <v>4</v>
      </c>
      <c r="K20" s="12" t="s">
        <v>347</v>
      </c>
      <c r="L20" s="12" t="s">
        <v>209</v>
      </c>
      <c r="M20" s="12" t="s">
        <v>216</v>
      </c>
      <c r="N20" s="12" t="s">
        <v>330</v>
      </c>
      <c r="O20" s="12" t="s">
        <v>308</v>
      </c>
      <c r="P20" s="12" t="s">
        <v>309</v>
      </c>
      <c r="Q20" s="12" t="s">
        <v>217</v>
      </c>
      <c r="R20" s="12" t="s">
        <v>218</v>
      </c>
      <c r="S20" s="12" t="s">
        <v>323</v>
      </c>
      <c r="T20" s="12" t="s">
        <v>219</v>
      </c>
      <c r="U20" s="12" t="s">
        <v>304</v>
      </c>
      <c r="V20" s="12" t="s">
        <v>305</v>
      </c>
      <c r="W20" s="12" t="s">
        <v>219</v>
      </c>
      <c r="X20" s="12" t="s">
        <v>220</v>
      </c>
      <c r="Y20" s="12" t="s">
        <v>221</v>
      </c>
      <c r="Z20" s="12" t="s">
        <v>348</v>
      </c>
    </row>
    <row r="21" spans="1:26">
      <c r="A21" s="10">
        <v>20</v>
      </c>
      <c r="B21" s="10">
        <v>20</v>
      </c>
      <c r="C21" s="10">
        <v>20</v>
      </c>
      <c r="D21" s="10">
        <v>28</v>
      </c>
      <c r="E21" s="10">
        <v>20</v>
      </c>
      <c r="F21" s="11">
        <f t="shared" si="0"/>
        <v>3.05</v>
      </c>
      <c r="G21" s="10">
        <v>4</v>
      </c>
      <c r="H21" s="10">
        <v>3</v>
      </c>
      <c r="I21" s="10">
        <v>1</v>
      </c>
      <c r="J21" s="10">
        <v>4</v>
      </c>
      <c r="K21" s="12" t="s">
        <v>349</v>
      </c>
      <c r="L21" s="12" t="s">
        <v>96</v>
      </c>
      <c r="M21" s="12" t="s">
        <v>103</v>
      </c>
      <c r="N21" s="12" t="s">
        <v>335</v>
      </c>
      <c r="O21" s="12" t="s">
        <v>308</v>
      </c>
      <c r="P21" s="12" t="s">
        <v>309</v>
      </c>
      <c r="Q21" s="12" t="s">
        <v>104</v>
      </c>
      <c r="R21" s="12" t="s">
        <v>105</v>
      </c>
      <c r="S21" s="12" t="s">
        <v>323</v>
      </c>
      <c r="T21" s="12" t="s">
        <v>106</v>
      </c>
      <c r="U21" s="12" t="s">
        <v>304</v>
      </c>
      <c r="V21" s="12" t="s">
        <v>305</v>
      </c>
      <c r="W21" s="12" t="s">
        <v>106</v>
      </c>
      <c r="X21" s="12" t="s">
        <v>107</v>
      </c>
      <c r="Y21" s="12" t="s">
        <v>108</v>
      </c>
      <c r="Z21" s="12" t="s">
        <v>350</v>
      </c>
    </row>
    <row r="22" spans="1:26">
      <c r="A22" s="10">
        <v>21</v>
      </c>
      <c r="B22" s="10">
        <v>21</v>
      </c>
      <c r="C22" s="10">
        <v>21</v>
      </c>
      <c r="D22" s="10">
        <v>29</v>
      </c>
      <c r="E22" s="10">
        <v>21</v>
      </c>
      <c r="F22" s="11">
        <f t="shared" si="0"/>
        <v>3.05</v>
      </c>
      <c r="G22" s="10">
        <v>4</v>
      </c>
      <c r="H22" s="10">
        <v>3</v>
      </c>
      <c r="I22" s="10">
        <v>1</v>
      </c>
      <c r="J22" s="10">
        <v>4</v>
      </c>
      <c r="K22" s="12" t="s">
        <v>351</v>
      </c>
      <c r="L22" s="12" t="s">
        <v>222</v>
      </c>
      <c r="M22" s="12" t="s">
        <v>223</v>
      </c>
      <c r="N22" s="12" t="s">
        <v>330</v>
      </c>
      <c r="O22" s="12" t="s">
        <v>308</v>
      </c>
      <c r="P22" s="12" t="s">
        <v>309</v>
      </c>
      <c r="Q22" s="12" t="s">
        <v>224</v>
      </c>
      <c r="R22" s="12" t="s">
        <v>225</v>
      </c>
      <c r="S22" s="12" t="s">
        <v>323</v>
      </c>
      <c r="T22" s="12" t="s">
        <v>226</v>
      </c>
      <c r="U22" s="12" t="s">
        <v>304</v>
      </c>
      <c r="V22" s="12" t="s">
        <v>305</v>
      </c>
      <c r="W22" s="12" t="s">
        <v>226</v>
      </c>
      <c r="X22" s="12" t="s">
        <v>227</v>
      </c>
      <c r="Y22" s="12" t="s">
        <v>228</v>
      </c>
      <c r="Z22" s="12" t="s">
        <v>352</v>
      </c>
    </row>
    <row r="23" spans="1:26">
      <c r="A23" s="10">
        <v>22</v>
      </c>
      <c r="B23" s="10">
        <v>22</v>
      </c>
      <c r="C23" s="10">
        <v>22</v>
      </c>
      <c r="D23" s="10">
        <v>30</v>
      </c>
      <c r="E23" s="10">
        <v>22</v>
      </c>
      <c r="F23" s="11">
        <f t="shared" si="0"/>
        <v>3.05</v>
      </c>
      <c r="G23" s="10">
        <v>4</v>
      </c>
      <c r="H23" s="10">
        <v>3</v>
      </c>
      <c r="I23" s="10">
        <v>1</v>
      </c>
      <c r="J23" s="10">
        <v>4</v>
      </c>
      <c r="K23" s="12" t="s">
        <v>353</v>
      </c>
      <c r="L23" s="12" t="s">
        <v>182</v>
      </c>
      <c r="M23" s="12" t="s">
        <v>183</v>
      </c>
      <c r="N23" s="12" t="s">
        <v>342</v>
      </c>
      <c r="O23" s="12" t="s">
        <v>301</v>
      </c>
      <c r="P23" s="12" t="s">
        <v>309</v>
      </c>
      <c r="Q23" s="12" t="s">
        <v>184</v>
      </c>
      <c r="R23" s="12" t="s">
        <v>185</v>
      </c>
      <c r="S23" s="12" t="s">
        <v>323</v>
      </c>
      <c r="T23" s="12" t="s">
        <v>186</v>
      </c>
      <c r="U23" s="12" t="s">
        <v>304</v>
      </c>
      <c r="V23" s="12" t="s">
        <v>305</v>
      </c>
      <c r="W23" s="12" t="s">
        <v>186</v>
      </c>
      <c r="X23" s="12" t="s">
        <v>187</v>
      </c>
      <c r="Y23" s="12" t="s">
        <v>188</v>
      </c>
      <c r="Z23" s="12" t="s">
        <v>354</v>
      </c>
    </row>
    <row r="24" spans="1:26">
      <c r="A24" s="10">
        <v>23</v>
      </c>
      <c r="B24" s="10">
        <v>23</v>
      </c>
      <c r="C24" s="10">
        <v>23</v>
      </c>
      <c r="D24" s="10">
        <v>31</v>
      </c>
      <c r="E24" s="10">
        <v>23</v>
      </c>
      <c r="F24" s="11">
        <f t="shared" si="0"/>
        <v>3.05</v>
      </c>
      <c r="G24" s="10">
        <v>4</v>
      </c>
      <c r="H24" s="10">
        <v>3</v>
      </c>
      <c r="I24" s="10">
        <v>1</v>
      </c>
      <c r="J24" s="10">
        <v>4</v>
      </c>
      <c r="K24" s="12" t="s">
        <v>355</v>
      </c>
      <c r="L24" s="12" t="s">
        <v>96</v>
      </c>
      <c r="M24" s="12" t="s">
        <v>97</v>
      </c>
      <c r="N24" s="12" t="s">
        <v>300</v>
      </c>
      <c r="O24" s="12" t="s">
        <v>308</v>
      </c>
      <c r="P24" s="12" t="s">
        <v>309</v>
      </c>
      <c r="Q24" s="12" t="s">
        <v>98</v>
      </c>
      <c r="R24" s="12" t="s">
        <v>99</v>
      </c>
      <c r="S24" s="12" t="s">
        <v>323</v>
      </c>
      <c r="T24" s="12" t="s">
        <v>100</v>
      </c>
      <c r="U24" s="12" t="s">
        <v>304</v>
      </c>
      <c r="V24" s="12" t="s">
        <v>305</v>
      </c>
      <c r="W24" s="12" t="s">
        <v>100</v>
      </c>
      <c r="X24" s="12" t="s">
        <v>101</v>
      </c>
      <c r="Y24" s="12" t="s">
        <v>102</v>
      </c>
      <c r="Z24" s="12" t="s">
        <v>356</v>
      </c>
    </row>
    <row r="25" spans="1:26">
      <c r="A25" s="10">
        <v>24</v>
      </c>
      <c r="B25" s="10">
        <v>24</v>
      </c>
      <c r="C25" s="10">
        <v>24</v>
      </c>
      <c r="D25" s="10">
        <v>32</v>
      </c>
      <c r="E25" s="10">
        <v>32</v>
      </c>
      <c r="F25" s="11">
        <f t="shared" si="0"/>
        <v>2.95</v>
      </c>
      <c r="G25" s="10">
        <v>4</v>
      </c>
      <c r="H25" s="10">
        <v>3</v>
      </c>
      <c r="I25" s="10">
        <v>1</v>
      </c>
      <c r="J25" s="10">
        <v>3</v>
      </c>
      <c r="K25" s="12" t="s">
        <v>357</v>
      </c>
      <c r="L25" s="12" t="s">
        <v>169</v>
      </c>
      <c r="M25" s="12" t="s">
        <v>176</v>
      </c>
      <c r="N25" s="12" t="s">
        <v>300</v>
      </c>
      <c r="O25" s="12" t="s">
        <v>308</v>
      </c>
      <c r="P25" s="12" t="s">
        <v>309</v>
      </c>
      <c r="Q25" s="12" t="s">
        <v>177</v>
      </c>
      <c r="R25" s="12" t="s">
        <v>178</v>
      </c>
      <c r="S25" s="12" t="s">
        <v>323</v>
      </c>
      <c r="T25" s="12" t="s">
        <v>179</v>
      </c>
      <c r="U25" s="12" t="s">
        <v>304</v>
      </c>
      <c r="V25" s="12" t="s">
        <v>305</v>
      </c>
      <c r="W25" s="12" t="s">
        <v>179</v>
      </c>
      <c r="X25" s="12" t="s">
        <v>180</v>
      </c>
      <c r="Y25" s="12" t="s">
        <v>181</v>
      </c>
      <c r="Z25" s="12" t="s">
        <v>358</v>
      </c>
    </row>
    <row r="26" spans="1:26">
      <c r="A26" s="10">
        <v>25</v>
      </c>
      <c r="B26" s="10">
        <v>25</v>
      </c>
      <c r="C26" s="10">
        <v>25</v>
      </c>
      <c r="D26" s="10">
        <v>33</v>
      </c>
      <c r="E26" s="10">
        <v>33</v>
      </c>
      <c r="F26" s="11">
        <f t="shared" si="0"/>
        <v>2.95</v>
      </c>
      <c r="G26" s="10">
        <v>4</v>
      </c>
      <c r="H26" s="10">
        <v>3</v>
      </c>
      <c r="I26" s="10">
        <v>1</v>
      </c>
      <c r="J26" s="10">
        <v>3</v>
      </c>
      <c r="K26" s="12" t="s">
        <v>359</v>
      </c>
      <c r="L26" s="12" t="s">
        <v>169</v>
      </c>
      <c r="M26" s="12" t="s">
        <v>170</v>
      </c>
      <c r="N26" s="12" t="s">
        <v>300</v>
      </c>
      <c r="O26" s="12" t="s">
        <v>308</v>
      </c>
      <c r="P26" s="12" t="s">
        <v>309</v>
      </c>
      <c r="Q26" s="12" t="s">
        <v>171</v>
      </c>
      <c r="R26" s="12" t="s">
        <v>172</v>
      </c>
      <c r="S26" s="12" t="s">
        <v>323</v>
      </c>
      <c r="T26" s="12" t="s">
        <v>173</v>
      </c>
      <c r="U26" s="12" t="s">
        <v>304</v>
      </c>
      <c r="V26" s="12" t="s">
        <v>305</v>
      </c>
      <c r="W26" s="12" t="s">
        <v>173</v>
      </c>
      <c r="X26" s="12" t="s">
        <v>174</v>
      </c>
      <c r="Y26" s="12" t="s">
        <v>175</v>
      </c>
      <c r="Z26" s="12" t="s">
        <v>360</v>
      </c>
    </row>
    <row r="27" spans="1:26">
      <c r="A27" s="10">
        <v>26</v>
      </c>
      <c r="B27" s="10">
        <v>26</v>
      </c>
      <c r="C27" s="10">
        <v>26</v>
      </c>
      <c r="D27" s="10">
        <v>8</v>
      </c>
      <c r="E27" s="10">
        <v>24</v>
      </c>
      <c r="F27" s="11">
        <f t="shared" si="0"/>
        <v>2.9</v>
      </c>
      <c r="G27" s="10">
        <v>3</v>
      </c>
      <c r="H27" s="10">
        <v>3</v>
      </c>
      <c r="I27" s="10">
        <v>2</v>
      </c>
      <c r="J27" s="10">
        <v>4</v>
      </c>
      <c r="K27" s="12" t="s">
        <v>361</v>
      </c>
      <c r="L27" s="12" t="s">
        <v>196</v>
      </c>
      <c r="M27" s="12" t="s">
        <v>203</v>
      </c>
      <c r="N27" s="12" t="s">
        <v>300</v>
      </c>
      <c r="O27" s="12" t="s">
        <v>308</v>
      </c>
      <c r="P27" s="12" t="s">
        <v>309</v>
      </c>
      <c r="Q27" s="12" t="s">
        <v>204</v>
      </c>
      <c r="R27" s="12" t="s">
        <v>205</v>
      </c>
      <c r="S27" s="12" t="s">
        <v>323</v>
      </c>
      <c r="T27" s="12" t="s">
        <v>206</v>
      </c>
      <c r="U27" s="12" t="s">
        <v>304</v>
      </c>
      <c r="V27" s="12" t="s">
        <v>305</v>
      </c>
      <c r="W27" s="12" t="s">
        <v>206</v>
      </c>
      <c r="X27" s="12" t="s">
        <v>207</v>
      </c>
      <c r="Y27" s="12" t="s">
        <v>208</v>
      </c>
      <c r="Z27" s="12" t="s">
        <v>362</v>
      </c>
    </row>
    <row r="28" spans="1:26">
      <c r="A28" s="10">
        <v>27</v>
      </c>
      <c r="B28" s="10">
        <v>27</v>
      </c>
      <c r="C28" s="10">
        <v>27</v>
      </c>
      <c r="D28" s="10">
        <v>9</v>
      </c>
      <c r="E28" s="10">
        <v>25</v>
      </c>
      <c r="F28" s="11">
        <f t="shared" si="0"/>
        <v>2.9</v>
      </c>
      <c r="G28" s="10">
        <v>3</v>
      </c>
      <c r="H28" s="10">
        <v>3</v>
      </c>
      <c r="I28" s="10">
        <v>2</v>
      </c>
      <c r="J28" s="10">
        <v>4</v>
      </c>
      <c r="K28" s="12" t="s">
        <v>363</v>
      </c>
      <c r="L28" s="12" t="s">
        <v>27</v>
      </c>
      <c r="M28" s="12" t="s">
        <v>28</v>
      </c>
      <c r="N28" s="12" t="s">
        <v>312</v>
      </c>
      <c r="O28" s="12" t="s">
        <v>308</v>
      </c>
      <c r="P28" s="12" t="s">
        <v>309</v>
      </c>
      <c r="Q28" s="12" t="s">
        <v>29</v>
      </c>
      <c r="R28" s="12" t="s">
        <v>30</v>
      </c>
      <c r="S28" s="12" t="s">
        <v>323</v>
      </c>
      <c r="T28" s="12" t="s">
        <v>31</v>
      </c>
      <c r="U28" s="12" t="s">
        <v>304</v>
      </c>
      <c r="V28" s="12" t="s">
        <v>305</v>
      </c>
      <c r="W28" s="12" t="s">
        <v>31</v>
      </c>
      <c r="X28" s="12" t="s">
        <v>32</v>
      </c>
      <c r="Y28" s="12" t="s">
        <v>33</v>
      </c>
      <c r="Z28" s="12" t="s">
        <v>364</v>
      </c>
    </row>
    <row r="29" spans="1:26">
      <c r="A29" s="10">
        <v>28</v>
      </c>
      <c r="B29" s="10">
        <v>28</v>
      </c>
      <c r="C29" s="10">
        <v>28</v>
      </c>
      <c r="D29" s="10">
        <v>10</v>
      </c>
      <c r="E29" s="10">
        <v>26</v>
      </c>
      <c r="F29" s="11">
        <f t="shared" si="0"/>
        <v>2.9</v>
      </c>
      <c r="G29" s="10">
        <v>3</v>
      </c>
      <c r="H29" s="10">
        <v>3</v>
      </c>
      <c r="I29" s="10">
        <v>2</v>
      </c>
      <c r="J29" s="10">
        <v>4</v>
      </c>
      <c r="K29" s="12" t="s">
        <v>365</v>
      </c>
      <c r="L29" s="12" t="s">
        <v>89</v>
      </c>
      <c r="M29" s="12" t="s">
        <v>90</v>
      </c>
      <c r="N29" s="12" t="s">
        <v>300</v>
      </c>
      <c r="O29" s="12" t="s">
        <v>308</v>
      </c>
      <c r="P29" s="12" t="s">
        <v>309</v>
      </c>
      <c r="Q29" s="12" t="s">
        <v>91</v>
      </c>
      <c r="R29" s="12" t="s">
        <v>92</v>
      </c>
      <c r="S29" s="12" t="s">
        <v>323</v>
      </c>
      <c r="T29" s="12" t="s">
        <v>93</v>
      </c>
      <c r="U29" s="12" t="s">
        <v>304</v>
      </c>
      <c r="V29" s="12" t="s">
        <v>305</v>
      </c>
      <c r="W29" s="12" t="s">
        <v>93</v>
      </c>
      <c r="X29" s="12" t="s">
        <v>94</v>
      </c>
      <c r="Y29" s="12" t="s">
        <v>95</v>
      </c>
      <c r="Z29" s="12" t="s">
        <v>366</v>
      </c>
    </row>
    <row r="30" spans="1:26">
      <c r="A30" s="10">
        <v>29</v>
      </c>
      <c r="B30" s="10">
        <v>29</v>
      </c>
      <c r="C30" s="10">
        <v>29</v>
      </c>
      <c r="D30" s="10">
        <v>11</v>
      </c>
      <c r="E30" s="10">
        <v>27</v>
      </c>
      <c r="F30" s="11">
        <f t="shared" si="0"/>
        <v>2.9</v>
      </c>
      <c r="G30" s="10">
        <v>3</v>
      </c>
      <c r="H30" s="10">
        <v>3</v>
      </c>
      <c r="I30" s="10">
        <v>2</v>
      </c>
      <c r="J30" s="10">
        <v>4</v>
      </c>
      <c r="K30" s="12" t="s">
        <v>367</v>
      </c>
      <c r="L30" s="12" t="s">
        <v>40</v>
      </c>
      <c r="M30" s="12" t="s">
        <v>41</v>
      </c>
      <c r="N30" s="12" t="s">
        <v>312</v>
      </c>
      <c r="O30" s="12" t="s">
        <v>308</v>
      </c>
      <c r="P30" s="12" t="s">
        <v>309</v>
      </c>
      <c r="Q30" s="12" t="s">
        <v>42</v>
      </c>
      <c r="R30" s="12" t="s">
        <v>43</v>
      </c>
      <c r="S30" s="12" t="s">
        <v>323</v>
      </c>
      <c r="T30" s="12" t="s">
        <v>44</v>
      </c>
      <c r="U30" s="12" t="s">
        <v>304</v>
      </c>
      <c r="V30" s="12" t="s">
        <v>305</v>
      </c>
      <c r="W30" s="12" t="s">
        <v>44</v>
      </c>
      <c r="X30" s="12" t="s">
        <v>45</v>
      </c>
      <c r="Y30" s="12" t="s">
        <v>46</v>
      </c>
      <c r="Z30" s="12" t="s">
        <v>368</v>
      </c>
    </row>
    <row r="31" spans="1:26">
      <c r="A31" s="10">
        <v>30</v>
      </c>
      <c r="B31" s="10">
        <v>30</v>
      </c>
      <c r="C31" s="10">
        <v>30</v>
      </c>
      <c r="D31" s="10">
        <v>12</v>
      </c>
      <c r="E31" s="10">
        <v>28</v>
      </c>
      <c r="F31" s="11">
        <f t="shared" si="0"/>
        <v>2.9</v>
      </c>
      <c r="G31" s="10">
        <v>3</v>
      </c>
      <c r="H31" s="10">
        <v>3</v>
      </c>
      <c r="I31" s="10">
        <v>2</v>
      </c>
      <c r="J31" s="10">
        <v>4</v>
      </c>
      <c r="K31" s="12" t="s">
        <v>369</v>
      </c>
      <c r="L31" s="12" t="s">
        <v>14</v>
      </c>
      <c r="M31" s="12" t="s">
        <v>15</v>
      </c>
      <c r="N31" s="12" t="s">
        <v>300</v>
      </c>
      <c r="O31" s="12" t="s">
        <v>308</v>
      </c>
      <c r="P31" s="12" t="s">
        <v>309</v>
      </c>
      <c r="Q31" s="12" t="s">
        <v>16</v>
      </c>
      <c r="R31" s="12" t="s">
        <v>17</v>
      </c>
      <c r="S31" s="12" t="s">
        <v>323</v>
      </c>
      <c r="T31" s="12" t="s">
        <v>18</v>
      </c>
      <c r="U31" s="12" t="s">
        <v>304</v>
      </c>
      <c r="V31" s="12" t="s">
        <v>305</v>
      </c>
      <c r="W31" s="12" t="s">
        <v>18</v>
      </c>
      <c r="X31" s="12" t="s">
        <v>19</v>
      </c>
      <c r="Y31" s="12" t="s">
        <v>20</v>
      </c>
      <c r="Z31" s="12" t="s">
        <v>370</v>
      </c>
    </row>
    <row r="32" spans="1:26">
      <c r="A32" s="10">
        <v>31</v>
      </c>
      <c r="B32" s="10">
        <v>31</v>
      </c>
      <c r="C32" s="10">
        <v>31</v>
      </c>
      <c r="D32" s="10">
        <v>13</v>
      </c>
      <c r="E32" s="10">
        <v>29</v>
      </c>
      <c r="F32" s="11">
        <f t="shared" si="0"/>
        <v>2.9</v>
      </c>
      <c r="G32" s="10">
        <v>3</v>
      </c>
      <c r="H32" s="10">
        <v>3</v>
      </c>
      <c r="I32" s="10">
        <v>2</v>
      </c>
      <c r="J32" s="10">
        <v>4</v>
      </c>
      <c r="K32" s="12" t="s">
        <v>371</v>
      </c>
      <c r="L32" s="12" t="s">
        <v>47</v>
      </c>
      <c r="M32" s="12" t="s">
        <v>48</v>
      </c>
      <c r="N32" s="12" t="s">
        <v>300</v>
      </c>
      <c r="O32" s="12" t="s">
        <v>308</v>
      </c>
      <c r="P32" s="12" t="s">
        <v>309</v>
      </c>
      <c r="Q32" s="12" t="s">
        <v>49</v>
      </c>
      <c r="R32" s="12" t="s">
        <v>50</v>
      </c>
      <c r="S32" s="12" t="s">
        <v>323</v>
      </c>
      <c r="T32" s="12" t="s">
        <v>51</v>
      </c>
      <c r="U32" s="12" t="s">
        <v>304</v>
      </c>
      <c r="V32" s="12" t="s">
        <v>305</v>
      </c>
      <c r="W32" s="12" t="s">
        <v>51</v>
      </c>
      <c r="X32" s="12" t="s">
        <v>52</v>
      </c>
      <c r="Y32" s="12" t="s">
        <v>53</v>
      </c>
      <c r="Z32" s="12" t="s">
        <v>372</v>
      </c>
    </row>
    <row r="33" spans="1:26">
      <c r="A33" s="10">
        <v>32</v>
      </c>
      <c r="B33" s="10">
        <v>32</v>
      </c>
      <c r="C33" s="10">
        <v>32</v>
      </c>
      <c r="D33" s="10">
        <v>14</v>
      </c>
      <c r="E33" s="10">
        <v>30</v>
      </c>
      <c r="F33" s="11">
        <f t="shared" si="0"/>
        <v>2.9</v>
      </c>
      <c r="G33" s="10">
        <v>3</v>
      </c>
      <c r="H33" s="10">
        <v>3</v>
      </c>
      <c r="I33" s="10">
        <v>2</v>
      </c>
      <c r="J33" s="10">
        <v>4</v>
      </c>
      <c r="K33" s="12" t="s">
        <v>373</v>
      </c>
      <c r="L33" s="12" t="s">
        <v>14</v>
      </c>
      <c r="M33" s="12" t="s">
        <v>21</v>
      </c>
      <c r="N33" s="12" t="s">
        <v>300</v>
      </c>
      <c r="O33" s="12" t="s">
        <v>308</v>
      </c>
      <c r="P33" s="12" t="s">
        <v>309</v>
      </c>
      <c r="Q33" s="12" t="s">
        <v>22</v>
      </c>
      <c r="R33" s="12" t="s">
        <v>23</v>
      </c>
      <c r="S33" s="12" t="s">
        <v>323</v>
      </c>
      <c r="T33" s="12" t="s">
        <v>24</v>
      </c>
      <c r="U33" s="12" t="s">
        <v>304</v>
      </c>
      <c r="V33" s="12" t="s">
        <v>305</v>
      </c>
      <c r="W33" s="12" t="s">
        <v>24</v>
      </c>
      <c r="X33" s="12" t="s">
        <v>25</v>
      </c>
      <c r="Y33" s="12" t="s">
        <v>26</v>
      </c>
      <c r="Z33" s="12" t="s">
        <v>374</v>
      </c>
    </row>
    <row r="34" spans="1:26">
      <c r="A34" s="10">
        <v>33</v>
      </c>
      <c r="B34" s="10">
        <v>33</v>
      </c>
      <c r="C34" s="10">
        <v>33</v>
      </c>
      <c r="D34" s="10">
        <v>15</v>
      </c>
      <c r="E34" s="10">
        <v>31</v>
      </c>
      <c r="F34" s="11">
        <f t="shared" si="0"/>
        <v>2.9</v>
      </c>
      <c r="G34" s="10">
        <v>3</v>
      </c>
      <c r="H34" s="10">
        <v>3</v>
      </c>
      <c r="I34" s="10">
        <v>2</v>
      </c>
      <c r="J34" s="10">
        <v>4</v>
      </c>
      <c r="K34" s="12" t="s">
        <v>375</v>
      </c>
      <c r="L34" s="12" t="s">
        <v>196</v>
      </c>
      <c r="M34" s="12" t="s">
        <v>197</v>
      </c>
      <c r="N34" s="12" t="s">
        <v>335</v>
      </c>
      <c r="O34" s="12" t="s">
        <v>308</v>
      </c>
      <c r="P34" s="12" t="s">
        <v>309</v>
      </c>
      <c r="Q34" s="12" t="s">
        <v>198</v>
      </c>
      <c r="R34" s="12" t="s">
        <v>199</v>
      </c>
      <c r="S34" s="12" t="s">
        <v>323</v>
      </c>
      <c r="T34" s="12" t="s">
        <v>200</v>
      </c>
      <c r="U34" s="12" t="s">
        <v>304</v>
      </c>
      <c r="V34" s="12" t="s">
        <v>305</v>
      </c>
      <c r="W34" s="12" t="s">
        <v>200</v>
      </c>
      <c r="X34" s="12" t="s">
        <v>201</v>
      </c>
      <c r="Y34" s="12" t="s">
        <v>202</v>
      </c>
      <c r="Z34" s="12" t="s">
        <v>376</v>
      </c>
    </row>
  </sheetData>
  <conditionalFormatting sqref="A2:A34">
    <cfRule type="colorScale" priority="1">
      <colorScale>
        <cfvo type="min"/>
        <cfvo type="percentile" val="50"/>
        <cfvo type="max"/>
        <color rgb="FFDCFCE7"/>
        <color rgb="FFFEF3C7"/>
        <color rgb="FFFEE2E2"/>
      </colorScale>
    </cfRule>
  </conditionalFormatting>
  <conditionalFormatting sqref="B2:B34">
    <cfRule type="colorScale" priority="2">
      <colorScale>
        <cfvo type="min"/>
        <cfvo type="percentile" val="50"/>
        <cfvo type="max"/>
        <color rgb="FFDCFCE7"/>
        <color rgb="FFFEF3C7"/>
        <color rgb="FFFEE2E2"/>
      </colorScale>
    </cfRule>
  </conditionalFormatting>
  <conditionalFormatting sqref="C2:C34">
    <cfRule type="colorScale" priority="3">
      <colorScale>
        <cfvo type="min"/>
        <cfvo type="percentile" val="50"/>
        <cfvo type="max"/>
        <color rgb="FFDCFCE7"/>
        <color rgb="FFFEF3C7"/>
        <color rgb="FFFEE2E2"/>
      </colorScale>
    </cfRule>
  </conditionalFormatting>
  <conditionalFormatting sqref="D2:D34">
    <cfRule type="colorScale" priority="4">
      <colorScale>
        <cfvo type="min"/>
        <cfvo type="percentile" val="50"/>
        <cfvo type="max"/>
        <color rgb="FFDCFCE7"/>
        <color rgb="FFFEF3C7"/>
        <color rgb="FFFEE2E2"/>
      </colorScale>
    </cfRule>
  </conditionalFormatting>
  <conditionalFormatting sqref="E2:E34">
    <cfRule type="colorScale" priority="5">
      <colorScale>
        <cfvo type="min"/>
        <cfvo type="percentile" val="50"/>
        <cfvo type="max"/>
        <color rgb="FFDCFCE7"/>
        <color rgb="FFFEF3C7"/>
        <color rgb="FFFEE2E2"/>
      </colorScale>
    </cfRule>
  </conditionalFormatting>
  <conditionalFormatting sqref="F2:F34">
    <cfRule type="colorScale" priority="6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G2:G34">
    <cfRule type="colorScale" priority="7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H2:H34">
    <cfRule type="colorScale" priority="8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I2:I34">
    <cfRule type="colorScale" priority="9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J2:J34">
    <cfRule type="colorScale" priority="10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/>
  </sheetViews>
  <sheetFormatPr defaultRowHeight="13.8"/>
  <cols>
    <col min="1" max="1" width="45" customWidth="1"/>
    <col min="2" max="2" width="24" customWidth="1"/>
  </cols>
  <sheetData>
    <row r="1" spans="1:2" ht="27.6">
      <c r="A1" s="2" t="s">
        <v>0</v>
      </c>
      <c r="B1" s="2" t="s">
        <v>229</v>
      </c>
    </row>
    <row r="2" spans="1:2">
      <c r="A2" t="s">
        <v>109</v>
      </c>
      <c r="B2">
        <v>3</v>
      </c>
    </row>
    <row r="3" spans="1:2">
      <c r="A3" t="s">
        <v>14</v>
      </c>
      <c r="B3">
        <v>2</v>
      </c>
    </row>
    <row r="4" spans="1:2">
      <c r="A4" t="s">
        <v>96</v>
      </c>
      <c r="B4">
        <v>2</v>
      </c>
    </row>
    <row r="5" spans="1:2">
      <c r="A5" t="s">
        <v>142</v>
      </c>
      <c r="B5">
        <v>2</v>
      </c>
    </row>
    <row r="6" spans="1:2">
      <c r="A6" t="s">
        <v>169</v>
      </c>
      <c r="B6">
        <v>2</v>
      </c>
    </row>
    <row r="7" spans="1:2">
      <c r="A7" t="s">
        <v>196</v>
      </c>
      <c r="B7">
        <v>2</v>
      </c>
    </row>
    <row r="8" spans="1:2">
      <c r="A8" t="s">
        <v>209</v>
      </c>
      <c r="B8">
        <v>2</v>
      </c>
    </row>
    <row r="9" spans="1:2">
      <c r="A9" t="s">
        <v>7</v>
      </c>
      <c r="B9">
        <v>1</v>
      </c>
    </row>
    <row r="10" spans="1:2">
      <c r="A10" t="s">
        <v>27</v>
      </c>
      <c r="B10">
        <v>1</v>
      </c>
    </row>
    <row r="11" spans="1:2">
      <c r="A11" t="s">
        <v>34</v>
      </c>
      <c r="B11">
        <v>1</v>
      </c>
    </row>
    <row r="12" spans="1:2">
      <c r="A12" t="s">
        <v>40</v>
      </c>
      <c r="B12">
        <v>1</v>
      </c>
    </row>
    <row r="13" spans="1:2">
      <c r="A13" t="s">
        <v>47</v>
      </c>
      <c r="B13">
        <v>1</v>
      </c>
    </row>
    <row r="14" spans="1:2">
      <c r="A14" t="s">
        <v>54</v>
      </c>
      <c r="B14">
        <v>1</v>
      </c>
    </row>
    <row r="15" spans="1:2">
      <c r="A15" t="s">
        <v>61</v>
      </c>
      <c r="B15">
        <v>1</v>
      </c>
    </row>
    <row r="16" spans="1:2">
      <c r="A16" t="s">
        <v>68</v>
      </c>
      <c r="B16">
        <v>1</v>
      </c>
    </row>
    <row r="17" spans="1:2">
      <c r="A17" t="s">
        <v>75</v>
      </c>
      <c r="B17">
        <v>1</v>
      </c>
    </row>
    <row r="18" spans="1:2">
      <c r="A18" t="s">
        <v>82</v>
      </c>
      <c r="B18">
        <v>1</v>
      </c>
    </row>
    <row r="19" spans="1:2">
      <c r="A19" t="s">
        <v>89</v>
      </c>
      <c r="B19">
        <v>1</v>
      </c>
    </row>
    <row r="20" spans="1:2">
      <c r="A20" t="s">
        <v>128</v>
      </c>
      <c r="B20">
        <v>1</v>
      </c>
    </row>
    <row r="21" spans="1:2">
      <c r="A21" t="s">
        <v>135</v>
      </c>
      <c r="B21">
        <v>1</v>
      </c>
    </row>
    <row r="22" spans="1:2">
      <c r="A22" t="s">
        <v>155</v>
      </c>
      <c r="B22">
        <v>1</v>
      </c>
    </row>
    <row r="23" spans="1:2">
      <c r="A23" t="s">
        <v>162</v>
      </c>
      <c r="B23">
        <v>1</v>
      </c>
    </row>
    <row r="24" spans="1:2">
      <c r="A24" t="s">
        <v>182</v>
      </c>
      <c r="B24">
        <v>1</v>
      </c>
    </row>
    <row r="25" spans="1:2">
      <c r="A25" t="s">
        <v>189</v>
      </c>
      <c r="B25">
        <v>1</v>
      </c>
    </row>
    <row r="26" spans="1:2">
      <c r="A26" t="s">
        <v>222</v>
      </c>
      <c r="B26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3.8"/>
  <cols>
    <col min="1" max="1" width="28" customWidth="1"/>
    <col min="2" max="2" width="110" customWidth="1"/>
  </cols>
  <sheetData>
    <row r="1" spans="1:2">
      <c r="A1" s="2" t="s">
        <v>230</v>
      </c>
      <c r="B1" s="2" t="s">
        <v>231</v>
      </c>
    </row>
    <row r="2" spans="1:2">
      <c r="A2" t="s">
        <v>232</v>
      </c>
      <c r="B2" t="s">
        <v>233</v>
      </c>
    </row>
    <row r="3" spans="1:2">
      <c r="A3" t="s">
        <v>234</v>
      </c>
      <c r="B3" t="s">
        <v>235</v>
      </c>
    </row>
    <row r="4" spans="1:2">
      <c r="A4" t="s">
        <v>236</v>
      </c>
      <c r="B4">
        <v>33</v>
      </c>
    </row>
    <row r="5" spans="1:2">
      <c r="A5" t="s">
        <v>237</v>
      </c>
      <c r="B5" t="s">
        <v>238</v>
      </c>
    </row>
    <row r="6" spans="1:2">
      <c r="A6" t="s">
        <v>239</v>
      </c>
      <c r="B6" t="s">
        <v>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0B1A-18E8-4CB1-80CF-4D7033A775D3}">
  <dimension ref="A1:D10"/>
  <sheetViews>
    <sheetView tabSelected="1" workbookViewId="0">
      <selection activeCell="A2" sqref="A2"/>
    </sheetView>
  </sheetViews>
  <sheetFormatPr defaultRowHeight="13.8"/>
  <cols>
    <col min="1" max="1" width="37.59765625" bestFit="1" customWidth="1"/>
    <col min="2" max="2" width="54.09765625" bestFit="1" customWidth="1"/>
    <col min="3" max="3" width="101.796875" bestFit="1" customWidth="1"/>
    <col min="4" max="4" width="83" bestFit="1" customWidth="1"/>
  </cols>
  <sheetData>
    <row r="1" spans="1:4">
      <c r="A1" s="3" t="s">
        <v>377</v>
      </c>
      <c r="B1" s="4" t="s">
        <v>241</v>
      </c>
      <c r="C1" s="4" t="s">
        <v>242</v>
      </c>
      <c r="D1" s="4" t="s">
        <v>243</v>
      </c>
    </row>
    <row r="2" spans="1:4">
      <c r="A2" s="5" t="s">
        <v>244</v>
      </c>
      <c r="B2" s="6" t="s">
        <v>245</v>
      </c>
      <c r="C2" s="6" t="s">
        <v>246</v>
      </c>
      <c r="D2" s="6" t="s">
        <v>247</v>
      </c>
    </row>
    <row r="3" spans="1:4">
      <c r="A3" s="7" t="s">
        <v>248</v>
      </c>
      <c r="B3" s="8" t="s">
        <v>249</v>
      </c>
      <c r="C3" s="8" t="s">
        <v>250</v>
      </c>
      <c r="D3" s="8" t="s">
        <v>251</v>
      </c>
    </row>
    <row r="4" spans="1:4">
      <c r="A4" s="5" t="s">
        <v>252</v>
      </c>
      <c r="B4" s="6" t="s">
        <v>253</v>
      </c>
      <c r="C4" s="6" t="s">
        <v>254</v>
      </c>
      <c r="D4" s="6" t="s">
        <v>255</v>
      </c>
    </row>
    <row r="5" spans="1:4">
      <c r="A5" s="7" t="s">
        <v>256</v>
      </c>
      <c r="B5" s="8" t="s">
        <v>257</v>
      </c>
      <c r="C5" s="8" t="s">
        <v>258</v>
      </c>
      <c r="D5" s="8" t="s">
        <v>259</v>
      </c>
    </row>
    <row r="6" spans="1:4">
      <c r="A6" s="5" t="s">
        <v>260</v>
      </c>
      <c r="B6" s="6" t="s">
        <v>261</v>
      </c>
      <c r="C6" s="6" t="s">
        <v>262</v>
      </c>
      <c r="D6" s="6" t="s">
        <v>263</v>
      </c>
    </row>
    <row r="7" spans="1:4">
      <c r="A7" s="7" t="s">
        <v>264</v>
      </c>
      <c r="B7" s="8" t="s">
        <v>265</v>
      </c>
      <c r="C7" s="8" t="s">
        <v>266</v>
      </c>
      <c r="D7" s="8" t="s">
        <v>267</v>
      </c>
    </row>
    <row r="8" spans="1:4">
      <c r="A8" s="5" t="s">
        <v>268</v>
      </c>
      <c r="B8" s="6" t="s">
        <v>269</v>
      </c>
      <c r="C8" s="6" t="s">
        <v>270</v>
      </c>
      <c r="D8" s="6" t="s">
        <v>271</v>
      </c>
    </row>
    <row r="9" spans="1:4">
      <c r="A9" s="7" t="s">
        <v>272</v>
      </c>
      <c r="B9" s="8" t="s">
        <v>273</v>
      </c>
      <c r="C9" s="8" t="s">
        <v>274</v>
      </c>
      <c r="D9" s="8" t="s">
        <v>275</v>
      </c>
    </row>
    <row r="10" spans="1:4">
      <c r="A10" s="5" t="s">
        <v>276</v>
      </c>
      <c r="B10" s="6" t="s">
        <v>277</v>
      </c>
      <c r="C10" s="6" t="s">
        <v>278</v>
      </c>
      <c r="D10" s="6" t="s">
        <v>279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ferramentas_preprocessamento</vt:lpstr>
      <vt:lpstr>resumo</vt:lpstr>
      <vt:lpstr>metadados</vt:lpstr>
      <vt:lpstr>sugestao_por_produto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</cp:lastModifiedBy>
  <dcterms:modified xsi:type="dcterms:W3CDTF">2026-05-25T22:01:18Z</dcterms:modified>
</cp:coreProperties>
</file>