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Bruno\Desktop\Fiocruz\SEIDIGI\Meta 8 - Data science epidemiology\5-Repositório\streamlit\repositorio\src\data\"/>
    </mc:Choice>
  </mc:AlternateContent>
  <xr:revisionPtr revIDLastSave="0" documentId="13_ncr:1_{36857680-A329-4A4D-8758-C8E9E42BAB8B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datasets" sheetId="5" r:id="rId1"/>
    <sheet name="datasets_ve" sheetId="1" r:id="rId2"/>
    <sheet name="criterios" sheetId="2" r:id="rId3"/>
    <sheet name="resumo" sheetId="3" r:id="rId4"/>
    <sheet name="sugestao_por_produto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6" i="5" l="1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<sst xmlns="http://schemas.openxmlformats.org/spreadsheetml/2006/main" count="3342" uniqueCount="1502">
  <si>
    <t>rank_balanceado</t>
  </si>
  <si>
    <t>rank_popularidade_geral</t>
  </si>
  <si>
    <t>rank_uso_institucional_ve</t>
  </si>
  <si>
    <t>rank_especificidade_ve</t>
  </si>
  <si>
    <t>rank_adequacao_informes</t>
  </si>
  <si>
    <t>score_balanceado</t>
  </si>
  <si>
    <t>popularidade_geral_1a5</t>
  </si>
  <si>
    <t>uso_institucional_ve_1a5</t>
  </si>
  <si>
    <t>especificidade_ve_1a5</t>
  </si>
  <si>
    <t>adequacao_informes_1a5</t>
  </si>
  <si>
    <t>nota_criterio_ranking</t>
  </si>
  <si>
    <t>categoria</t>
  </si>
  <si>
    <t>ferramenta</t>
  </si>
  <si>
    <t>tipo</t>
  </si>
  <si>
    <t>gratuita_ou_paga</t>
  </si>
  <si>
    <t>generica_ou_especifica_ve</t>
  </si>
  <si>
    <t>escopo</t>
  </si>
  <si>
    <t>conteudo_principal</t>
  </si>
  <si>
    <t>uso_no_contexto_ve</t>
  </si>
  <si>
    <t>casos_de_aplicacao_na_area</t>
  </si>
  <si>
    <t>formatos_de_divulgacao</t>
  </si>
  <si>
    <t>publico_alvo</t>
  </si>
  <si>
    <t>potencial_para_ve_e_ciencia_de_dados</t>
  </si>
  <si>
    <t>cuidados_observacoes</t>
  </si>
  <si>
    <t>fonte</t>
  </si>
  <si>
    <t>thumbnail_url</t>
  </si>
  <si>
    <t>thumbnail</t>
  </si>
  <si>
    <t>Efetividade e equidade vacinal recebeu score considerando popularidade geral (5/5), uso/aderência institucional em VE (5/5), especificidade para VE (5/5) e adequação para estudos/compartilhamento (4/5).</t>
  </si>
  <si>
    <t>Ideias de estudos aplicados</t>
  </si>
  <si>
    <t>Efetividade e equidade vacinal</t>
  </si>
  <si>
    <t>Dataset/base de dados aberta ou cenário de integração de dados</t>
  </si>
  <si>
    <t>Gratuita/acesso público, salvo restrições específicas de cada fonte</t>
  </si>
  <si>
    <t>Específica/fortemente aderente à vigilância epidemiológica</t>
  </si>
  <si>
    <t>Exemplo de aplicação</t>
  </si>
  <si>
    <t>SI-PNI + SIM + SIVEP-Gripe + IBGE.</t>
  </si>
  <si>
    <t>Alto</t>
  </si>
  <si>
    <t>Avaliar cobertura, desigualdade territorial e impacto em hospitalizações/óbitos.</t>
  </si>
  <si>
    <t>CSV; API; microdados; séries históricas; indicadores; painéis; arquivos tabulares/geoespaciais, conforme a fonte</t>
  </si>
  <si>
    <t>Vigilância epidemiológica, cientistas de dados, pesquisadores, gestores, analistas de saúde pública e áreas de governança de dados</t>
  </si>
  <si>
    <t>Evitar inferência individual a partir de dados agregados; considerar vieses ecológicos.</t>
  </si>
  <si>
    <t>https://dadosabertos.saude.gov.br/</t>
  </si>
  <si>
    <t>https://www.google.com/s2/favicons?domain=dadosabertos.saude.gov.br&amp;sz=64</t>
  </si>
  <si>
    <t>Predição e alerta precoce recebeu score considerando popularidade geral (5/5), uso/aderência institucional em VE (5/5), especificidade para VE (5/5) e adequação para estudos/compartilhamento (4/5).</t>
  </si>
  <si>
    <t>Predição e alerta precoce</t>
  </si>
  <si>
    <t>InfoDengue + INMET + IBGE.</t>
  </si>
  <si>
    <t>Prever incidência semanal de dengue por município com séries temporais, gradient boosting, redes neurais ou modelos bayesianos espaço-temporais.</t>
  </si>
  <si>
    <t>Controlar atraso de notificação, sazonalidade, autocorrelação espacial e validação temporal.</t>
  </si>
  <si>
    <t>https://info.dengue.mat.br/</t>
  </si>
  <si>
    <t>https://www.google.com/s2/favicons?domain=info.dengue.mat.br&amp;sz=64</t>
  </si>
  <si>
    <t>OpenDataSUS recebeu score considerando popularidade geral (5/5), uso/aderência institucional em VE (5/5), especificidade para VE (4/5) e adequação para estudos/compartilhamento (5/5).</t>
  </si>
  <si>
    <t>Bases estruturantes brasileiras para VE</t>
  </si>
  <si>
    <t>OpenDataSUS</t>
  </si>
  <si>
    <t>Brasil; Ministério da Saúde</t>
  </si>
  <si>
    <t>Repositório oficial com bases abertas do SUS em formatos como CSV, JSON, XML e API.</t>
  </si>
  <si>
    <t>Pipelines reprodutíveis; integração de bases; estudos nacionais; painéis automatizados.</t>
  </si>
  <si>
    <t>Verificar dicionários, data de atualização, quebras metodológicas e disponibilidade por sistema.</t>
  </si>
  <si>
    <t>https://www.gov.br/pt-br/servicos/consultar-as-bases-de-dados-no-portal-de-dados-abertos-do-sus</t>
  </si>
  <si>
    <t>https://www.google.com/s2/favicons?domain=gov.br&amp;sz=64</t>
  </si>
  <si>
    <t>DATASUS / TabNet recebeu score considerando popularidade geral (5/5), uso/aderência institucional em VE (5/5), especificidade para VE (4/5) e adequação para estudos/compartilhamento (4/5).</t>
  </si>
  <si>
    <t>DATASUS / TabNet</t>
  </si>
  <si>
    <t>Brasil; SUS</t>
  </si>
  <si>
    <t>Mortalidade, nascidos vivos, internações, produção ambulatorial, imunizações, CNES e agravos.</t>
  </si>
  <si>
    <t>Indicadores, séries históricas, painéis municipais/estaduais e validação de modelos.</t>
  </si>
  <si>
    <t>Pode haver mudanças de codificação, atraso de consolidação e diferenças entre sistemas.</t>
  </si>
  <si>
    <t>https://datasus.saude.gov.br/informacoes-de-saude-tabnet/</t>
  </si>
  <si>
    <t>https://www.google.com/s2/favicons?domain=datasus.saude.gov.br&amp;sz=64</t>
  </si>
  <si>
    <t>Nowcasting de agravos com atraso de notificação recebeu score considerando popularidade geral (4/5), uso/aderência institucional em VE (5/5), especificidade para VE (5/5) e adequação para estudos/compartilhamento (4/5).</t>
  </si>
  <si>
    <t>Nowcasting de agravos com atraso de notificação</t>
  </si>
  <si>
    <t>SIVEP-Gripe, SINAN/arboviroses ou SRAG.</t>
  </si>
  <si>
    <t>Corrigir atraso e estimar a situação atual antes do fechamento da base.</t>
  </si>
  <si>
    <t>Separar data de início, notificação, digitação e encerramento.</t>
  </si>
  <si>
    <t>SIVEP-Gripe / SRAG recebeu score considerando popularidade geral (4/5), uso/aderência institucional em VE (5/5), especificidade para VE (5/5) e adequação para estudos/compartilhamento (4/5).</t>
  </si>
  <si>
    <t>SIVEP-Gripe / SRAG</t>
  </si>
  <si>
    <t>Brasil; casos e óbitos por SRAG</t>
  </si>
  <si>
    <t>Registros de Síndrome Respiratória Aguda Grave, incluindo dados clínicos, evolução e classificação.</t>
  </si>
  <si>
    <t>Sazonalidade respiratória; nowcasting; previsão de demanda hospitalar; gravidade; vigilância viral.</t>
  </si>
  <si>
    <t>Atrasos de notificação e encerramento; mudanças de definição de caso; duplicidades.</t>
  </si>
  <si>
    <t>https://dadosabertos.saude.gov.br/dataset/srag-2019-a-2026</t>
  </si>
  <si>
    <t>Vigilância climática e ambiental recebeu score considerando popularidade geral (4/5), uso/aderência institucional em VE (5/5), especificidade para VE (5/5) e adequação para estudos/compartilhamento (4/5).</t>
  </si>
  <si>
    <t>Vigilância climática e ambiental</t>
  </si>
  <si>
    <t>InfoDengue + INMET + MapBiomas.</t>
  </si>
  <si>
    <t>Estudar chuva, temperatura, urbanização, água superficial e uso do solo em arboviroses e zoonoses.</t>
  </si>
  <si>
    <t>Definir defasagens plausíveis e resolver diferenças de escala espacial/temporal.</t>
  </si>
  <si>
    <t>WHO Global Health Observatory – GHO recebeu score considerando popularidade geral (5/5), uso/aderência institucional em VE (4/5), especificidade para VE (4/5) e adequação para estudos/compartilhamento (5/5).</t>
  </si>
  <si>
    <t>Bases internacionais</t>
  </si>
  <si>
    <t>WHO Global Health Observatory – GHO</t>
  </si>
  <si>
    <t>Global; países; OMS</t>
  </si>
  <si>
    <t>Indicadores globais de saúde por país, tema e ano.</t>
  </si>
  <si>
    <t>Médio/Alto</t>
  </si>
  <si>
    <t>Benchmark internacional; séries históricas; imunização; TB; malária; HIV; mortalidade; determinantes.</t>
  </si>
  <si>
    <t>Estimativas podem ser modeladas; comparar definições entre países.</t>
  </si>
  <si>
    <t>https://www.who.int/data/gho</t>
  </si>
  <si>
    <t>https://www.google.com/s2/favicons?domain=who.int&amp;sz=64</t>
  </si>
  <si>
    <t>CDC Open Data recebeu score considerando popularidade geral (5/5), uso/aderência institucional em VE (4/5), especificidade para VE (4/5) e adequação para estudos/compartilhamento (4/5).</t>
  </si>
  <si>
    <t>CDC Open Data</t>
  </si>
  <si>
    <t>Estados Unidos; CDC</t>
  </si>
  <si>
    <t>Portal aberto com datasets de saúde pública do CDC.</t>
  </si>
  <si>
    <t>Mineração de bases públicas; dashboards; ensino; protótipos de vigilância.</t>
  </si>
  <si>
    <t>Datasets heterogêneos; revisar metadados e atualizações por conjunto.</t>
  </si>
  <si>
    <t>https://data.cdc.gov/</t>
  </si>
  <si>
    <t>https://www.google.com/s2/favicons?domain=data.cdc.gov&amp;sz=64</t>
  </si>
  <si>
    <t>CDC WONDER recebeu score considerando popularidade geral (5/5), uso/aderência institucional em VE (4/5), especificidade para VE (4/5) e adequação para estudos/compartilhamento (4/5).</t>
  </si>
  <si>
    <t>CDC WONDER</t>
  </si>
  <si>
    <t>Mortalidade, natalidade, TB, IST, VAERS, câncer, população e outras bases.</t>
  </si>
  <si>
    <t>Mortalidade; excesso de óbitos; segurança vacinal; tendências por condado; estudos comparativos.</t>
  </si>
  <si>
    <t>Observar restrições de células pequenas, definições e agregações exigidas.</t>
  </si>
  <si>
    <t>https://catalog.data.gov/dataset/wide-ranging-online-data-for-epidemiologic-research-wonder</t>
  </si>
  <si>
    <t>https://www.google.com/s2/favicons?domain=catalog.data.gov&amp;sz=64</t>
  </si>
  <si>
    <t>Comparação internacional recebeu score considerando popularidade geral (5/5), uso/aderência institucional em VE (4/5), especificidade para VE (4/5) e adequação para estudos/compartilhamento (4/5).</t>
  </si>
  <si>
    <t>Comparação internacional</t>
  </si>
  <si>
    <t>GHO/OMS, OPAS, ECDC, CDC WONDER e GBD.</t>
  </si>
  <si>
    <t>Comparar tendências, carga de doença, cobertura vacinal, mortalidade e resposta a epidemias.</t>
  </si>
  <si>
    <t>Comparar definições, qualidade dos sistemas nacionais e intervalos de incerteza.</t>
  </si>
  <si>
    <t>ECDC Surveillance Atlas of Infectious Diseases recebeu score considerando popularidade geral (5/5), uso/aderência institucional em VE (4/5), especificidade para VE (4/5) e adequação para estudos/compartilhamento (4/5).</t>
  </si>
  <si>
    <t>ECDC Surveillance Atlas of Infectious Diseases</t>
  </si>
  <si>
    <t>União Europeia/EEE</t>
  </si>
  <si>
    <t>Dados de doenças infecciosas reportados ao ECDC via TESSy.</t>
  </si>
  <si>
    <t>Comparação internacional; visualização espacial; benchmark de vigilância; séries por doença.</t>
  </si>
  <si>
    <t>Foco europeu; definições e sistemas nacionais podem variar.</t>
  </si>
  <si>
    <t>https://www.ecdc.europa.eu/en/surveillance-atlas-infectious-diseases</t>
  </si>
  <si>
    <t>https://www.google.com/s2/favicons?domain=ecdc.europa.eu&amp;sz=64</t>
  </si>
  <si>
    <t>IHME / GBD Results Tool recebeu score considerando popularidade geral (5/5), uso/aderência institucional em VE (4/5), especificidade para VE (4/5) e adequação para estudos/compartilhamento (4/5).</t>
  </si>
  <si>
    <t>IHME / GBD Results Tool</t>
  </si>
  <si>
    <t>Global; países e territórios; 1990–2023</t>
  </si>
  <si>
    <t>Carga global de doença, mortalidade, DALYs, fatores de risco e doenças.</t>
  </si>
  <si>
    <t>Priorização de agravos; estimativas comparáveis; carga de doença; avaliação de tendência.</t>
  </si>
  <si>
    <t>Estimativas modeladas; interpretar incerteza e metodologia do GBD.</t>
  </si>
  <si>
    <t>https://www.healthdata.org/data-tools-practices/interactive-visuals/gbd-results</t>
  </si>
  <si>
    <t>https://www.google.com/s2/favicons?domain=healthdata.org&amp;sz=64</t>
  </si>
  <si>
    <t>API InfoDengue recebeu score considerando popularidade geral (3/5), uso/aderência institucional em VE (5/5), especificidade para VE (5/5) e adequação para estudos/compartilhamento (5/5).</t>
  </si>
  <si>
    <t>Vigilância sindrômica e predição</t>
  </si>
  <si>
    <t>API InfoDengue</t>
  </si>
  <si>
    <t>Brasil; consulta programática</t>
  </si>
  <si>
    <t>Consulta direta a dados agregados por semana a partir de diferentes fontes.</t>
  </si>
  <si>
    <t>Automação de painéis; pipelines em R/Python; modelos de nowcasting e forecast.</t>
  </si>
  <si>
    <t>Verificar parâmetros de consulta, códigos de município e séries disponíveis.</t>
  </si>
  <si>
    <t>https://info.dengue.mat.br/tutorial_api_r/</t>
  </si>
  <si>
    <t>Detecção de anomalias recebeu score considerando popularidade geral (3/5), uso/aderência institucional em VE (5/5), especificidade para VE (5/5) e adequação para estudos/compartilhamento (4/5).</t>
  </si>
  <si>
    <t>Detecção de anomalias</t>
  </si>
  <si>
    <t>SIH/SUS, SIM ou SIVEP-Gripe.</t>
  </si>
  <si>
    <t>Identificar aumentos incomuns por CID, causa de óbito ou síndrome.</t>
  </si>
  <si>
    <t>Usar linhas de base históricas, feriados, sazonalidade e mudanças de codificação.</t>
  </si>
  <si>
    <t>InfoDengue recebeu score considerando popularidade geral (3/5), uso/aderência institucional em VE (5/5), especificidade para VE (5/5) e adequação para estudos/compartilhamento (4/5).</t>
  </si>
  <si>
    <t>InfoDengue</t>
  </si>
  <si>
    <t>Brasil; municípios; escala semanal</t>
  </si>
  <si>
    <t>Dengue, chikungunya e zika, com dados epidemiológicos e variáveis agregadas por município e semana.</t>
  </si>
  <si>
    <t>Alerta precoce; previsão de incidência; mudança de tendência; modelos climáticos e sazonais.</t>
  </si>
  <si>
    <t>Resultados dependem de oportunidade de notificação e da integração com variáveis contextuais.</t>
  </si>
  <si>
    <t>https://api.mosqlimate.org/docs/pt/datastore/GET/infodengue/</t>
  </si>
  <si>
    <t>https://www.google.com/s2/favicons?domain=api.mosqlimate.org&amp;sz=64</t>
  </si>
  <si>
    <t>Integração vigilância-assistência recebeu score considerando popularidade geral (3/5), uso/aderência institucional em VE (5/5), especificidade para VE (5/5) e adequação para estudos/compartilhamento (4/5).</t>
  </si>
  <si>
    <t>Integração vigilância-assistência</t>
  </si>
  <si>
    <t>SIVEP-Gripe + SIH/SUS + CNES.</t>
  </si>
  <si>
    <t>Prever pressão hospitalar, necessidade de leitos e risco de saturação regional.</t>
  </si>
  <si>
    <t>Diferenciar demanda, oferta, registro e disponibilidade real de recursos.</t>
  </si>
  <si>
    <t>SI-PNI / vacinação recebeu score considerando popularidade geral (3/5), uso/aderência institucional em VE (5/5), especificidade para VE (5/5) e adequação para estudos/compartilhamento (4/5).</t>
  </si>
  <si>
    <t>SI-PNI / vacinação</t>
  </si>
  <si>
    <t>Brasil; imunização</t>
  </si>
  <si>
    <t>Doses aplicadas, vacina, dose, fabricante, estabelecimento, município, idade e outros campos.</t>
  </si>
  <si>
    <t>Cobertura vacinal; hesitação; efetividade ecológica; desigualdade de acesso; impacto de campanhas.</t>
  </si>
  <si>
    <t>Problemas de duplicidade, atraso, denominadores populacionais e mudanças de sistema.</t>
  </si>
  <si>
    <t>https://dadosabertos.saude.gov.br/dataset/covid-19-vacinacao</t>
  </si>
  <si>
    <t>SIM – Sistema de Informações sobre Mortalidade recebeu score considerando popularidade geral (3/5), uso/aderência institucional em VE (5/5), especificidade para VE (5/5) e adequação para estudos/compartilhamento (4/5).</t>
  </si>
  <si>
    <t>SIM – Sistema de Informações sobre Mortalidade</t>
  </si>
  <si>
    <t>Brasil; estatísticas vitais</t>
  </si>
  <si>
    <t>Óbitos por causa básica, local, idade, sexo, raça/cor, município e outros campos.</t>
  </si>
  <si>
    <t>Excesso de mortalidade; carga de doença; subnotificação; detecção de anomalias; análise espaço-temporal.</t>
  </si>
  <si>
    <t>Atraso de consolidação; qualidade da causa básica; redistribuição de causas mal definidas.</t>
  </si>
  <si>
    <t>SINASC – Sistema de Informações sobre Nascidos Vivos recebeu score considerando popularidade geral (3/5), uso/aderência institucional em VE (5/5), especificidade para VE (5/5) e adequação para estudos/compartilhamento (4/5).</t>
  </si>
  <si>
    <t>SINASC – Sistema de Informações sobre Nascidos Vivos</t>
  </si>
  <si>
    <t>Nascimentos, perfil materno, parto, peso ao nascer, prematuridade e local de ocorrência.</t>
  </si>
  <si>
    <t>Saúde materno-infantil; risco perinatal; desigualdades territoriais; efeitos de epidemias sobre nascimentos.</t>
  </si>
  <si>
    <t>Qualidade de preenchimento; completude; mudanças em formulários e variáveis.</t>
  </si>
  <si>
    <t>PAHO/EIH Open Data recebeu score considerando popularidade geral (4/5), uso/aderência institucional em VE (4/5), especificidade para VE (4/5) e adequação para estudos/compartilhamento (5/5).</t>
  </si>
  <si>
    <t>PAHO/EIH Open Data</t>
  </si>
  <si>
    <t>Região das Américas; OPAS</t>
  </si>
  <si>
    <t>Mais de 140 indicadores de saúde e relacionados à saúde desde 1995.</t>
  </si>
  <si>
    <t>Comparação regional; desigualdades; indicadores essenciais; vigilância continental.</t>
  </si>
  <si>
    <t>Verificar desagregações disponíveis e consistência entre países.</t>
  </si>
  <si>
    <t>https://opendata.paho.org/en</t>
  </si>
  <si>
    <t>https://www.google.com/s2/favicons?domain=opendata.paho.org&amp;sz=64</t>
  </si>
  <si>
    <t>InfoGripe / Fiocruz recebeu score considerando popularidade geral (4/5), uso/aderência institucional em VE (3/5), especificidade para VE (5/5) e adequação para estudos/compartilhamento (4/5).</t>
  </si>
  <si>
    <t>InfoGripe / Fiocruz</t>
  </si>
  <si>
    <t>Brasil; SRAG; frequência semanal</t>
  </si>
  <si>
    <t>Monitoramento de SRAG, tendências de curto e longo prazo e alertas respiratórios.</t>
  </si>
  <si>
    <t>Médio</t>
  </si>
  <si>
    <t>Alerta respiratório; sazonalidade; detecção de ondas epidêmicas; comunicação de risco.</t>
  </si>
  <si>
    <t>Interpretar com cuidado em períodos de baixa atividade e com atrasos de notificação.</t>
  </si>
  <si>
    <t>https://basedosdados.org/dataset/736ad69a-5cb1-4e52-9a13-535d439853a6</t>
  </si>
  <si>
    <t>https://www.google.com/s2/favicons?domain=basedosdados.org&amp;sz=64</t>
  </si>
  <si>
    <t>IBGE / SIDRA API recebeu score considerando popularidade geral (5/5), uso/aderência institucional em VE (3/5), especificidade para VE (2/5) e adequação para estudos/compartilhamento (5/5).</t>
  </si>
  <si>
    <t>Bases contextuais para enriquecer estudos epidemiológicos</t>
  </si>
  <si>
    <t>IBGE / SIDRA API</t>
  </si>
  <si>
    <t>Genérica, com aplicação em VE/ciência de dados</t>
  </si>
  <si>
    <t>Brasil; estatísticas demográficas e socioeconômicas</t>
  </si>
  <si>
    <t>População, estrutura etária, renda, escolaridade, território, censos e tabelas estatísticas.</t>
  </si>
  <si>
    <t>Denominadores; taxas por 100 mil; padronização; vulnerabilidade social; modelos espaciais.</t>
  </si>
  <si>
    <t>Compatibilizar municípios, anos censitários e estimativas intercensitárias.</t>
  </si>
  <si>
    <t>https://apisidra.ibge.gov.br/home</t>
  </si>
  <si>
    <t>https://www.google.com/s2/favicons?domain=apisidra.ibge.gov.br&amp;sz=64</t>
  </si>
  <si>
    <t>World Bank Open Data / Data360 recebeu score considerando popularidade geral (5/5), uso/aderência institucional em VE (3/5), especificidade para VE (2/5) e adequação para estudos/compartilhamento (5/5).</t>
  </si>
  <si>
    <t>World Bank Open Data / Data360</t>
  </si>
  <si>
    <t>Global; países</t>
  </si>
  <si>
    <t>Indicadores socioeconômicos, desenvolvimento, saneamento, renda e demografia.</t>
  </si>
  <si>
    <t>Comparações internacionais; determinantes sociais; modelos hierárquicos; indicadores de contexto.</t>
  </si>
  <si>
    <t>Verificar periodicidade, lacunas e comparabilidade entre países.</t>
  </si>
  <si>
    <t>https://data360.worldbank.org/en/api</t>
  </si>
  <si>
    <t>https://www.google.com/s2/favicons?domain=data360.worldbank.org&amp;sz=64</t>
  </si>
  <si>
    <t>CNES – Cadastro Nacional de Estabelecimentos de Saúde recebeu score considerando popularidade geral (3/5), uso/aderência institucional em VE (5/5), especificidade para VE (2/5) e adequação para estudos/compartilhamento (4/5).</t>
  </si>
  <si>
    <t>CNES – Cadastro Nacional de Estabelecimentos de Saúde</t>
  </si>
  <si>
    <t>Brasil; rede assistencial</t>
  </si>
  <si>
    <t>Estabelecimentos, leitos, equipamentos, profissionais e serviços.</t>
  </si>
  <si>
    <t>Capacidade instalada; acesso geográfico; risco de saturação; vulnerabilidade da rede.</t>
  </si>
  <si>
    <t>Atualização e qualidade cadastral variam; nem todo recurso cadastrado está necessariamente operacional.</t>
  </si>
  <si>
    <t>https://brazilvisible.org/docs/apis/saude-datasus/tabnet/</t>
  </si>
  <si>
    <t>https://www.google.com/s2/favicons?domain=brazilvisible.org&amp;sz=64</t>
  </si>
  <si>
    <t>INMET / BDMEP recebeu score considerando popularidade geral (4/5), uso/aderência institucional em VE (3/5), especificidade para VE (2/5) e adequação para estudos/compartilhamento (5/5).</t>
  </si>
  <si>
    <t>INMET / BDMEP</t>
  </si>
  <si>
    <t>Brasil; estações meteorológicas</t>
  </si>
  <si>
    <t>Temperatura, chuva, umidade e variáveis meteorológicas diárias em séries históricas.</t>
  </si>
  <si>
    <t>Arboviroses; doenças respiratórias; clima e saúde; modelos com defasagens.</t>
  </si>
  <si>
    <t>Lacunas em estações; interpolação espacial; compatibilização temporal com semanas epidemiológicas.</t>
  </si>
  <si>
    <t>https://portal.inmet.gov.br/servicos/bdmep-dados-hist%C3%B3ricos</t>
  </si>
  <si>
    <t>https://www.google.com/s2/favicons?domain=portal.inmet.gov.br&amp;sz=64</t>
  </si>
  <si>
    <t>Base dos Dados – saúde pública recebeu score considerando popularidade geral (3/5), uso/aderência institucional em VE (3/5), especificidade para VE (4/5) e adequação para estudos/compartilhamento (4/5).</t>
  </si>
  <si>
    <t>Base dos Dados – saúde pública</t>
  </si>
  <si>
    <t>Brasil; bases tratadas para análise</t>
  </si>
  <si>
    <t>Versões tratadas de bases como SIH/SUS, vacinação Covid-19, InfoGripe e outras.</t>
  </si>
  <si>
    <t>SQL/BigQuery; prototipagem rápida; ensino; reprodutibilidade; integração de fontes.</t>
  </si>
  <si>
    <t>Checar documentação da tabela, cobertura temporal e metodologia de tratamento.</t>
  </si>
  <si>
    <t>https://basedosdados.org/</t>
  </si>
  <si>
    <t>Brasil.IO COVID-19 recebeu score considerando popularidade geral (3/5), uso/aderência institucional em VE (3/5), especificidade para VE (4/5) e adequação para estudos/compartilhamento (4/5).</t>
  </si>
  <si>
    <t>Brasil.IO COVID-19</t>
  </si>
  <si>
    <t>Brasil; municípios e estados</t>
  </si>
  <si>
    <t>Casos confirmados e óbitos de COVID-19 obtidos de boletins das Secretarias Estaduais de Saúde.</t>
  </si>
  <si>
    <t>Séries municipais; comparação com SIVEP-Gripe; atrasos; subnotificação; continuidade histórica.</t>
  </si>
  <si>
    <t>Mudanças em boletins oficiais e critérios estaduais afetam comparabilidade.</t>
  </si>
  <si>
    <t>https://brasil.io/dataset/covid19/caso_full/</t>
  </si>
  <si>
    <t>https://www.google.com/s2/favicons?domain=brasil.io&amp;sz=64</t>
  </si>
  <si>
    <t>Google COVID-19 Open Data recebeu score considerando popularidade geral (4/5), uso/aderência institucional em VE (3/5), especificidade para VE (2/5) e adequação para estudos/compartilhamento (4/5).</t>
  </si>
  <si>
    <t>Google COVID-19 Open Data</t>
  </si>
  <si>
    <t>Global; múltiplas dimensões</t>
  </si>
  <si>
    <t>Epidemiologia, mobilidade, demografia, economia, clima, hospitalizações, vacinação e medidas de governo.</t>
  </si>
  <si>
    <t>Modelos multimodais; covariáveis para previsão; avaliação de intervenções; causalidade.</t>
  </si>
  <si>
    <t>Projeto histórico de COVID-19; checar manutenção e atualização antes de uso atual.</t>
  </si>
  <si>
    <t>https://github.com/GoogleCloudPlatform/covid-19-open-data</t>
  </si>
  <si>
    <t>https://www.google.com/s2/favicons?domain=github.com&amp;sz=64</t>
  </si>
  <si>
    <t>MapBiomas recebeu score considerando popularidade geral (4/5), uso/aderência institucional em VE (3/5), especificidade para VE (2/5) e adequação para estudos/compartilhamento (4/5).</t>
  </si>
  <si>
    <t>MapBiomas</t>
  </si>
  <si>
    <t>Brasil; cobertura e uso da terra desde 1985</t>
  </si>
  <si>
    <t>Uso e cobertura da terra, água, urbanização, desmatamento e transformações ambientais.</t>
  </si>
  <si>
    <t>Zoonoses; arboviroses; malária; leishmaniose; urbanização; risco ambiental.</t>
  </si>
  <si>
    <t>Necessita processamento geoespacial; ajustar resolução e escala de análise.</t>
  </si>
  <si>
    <t>https://brasil.mapbiomas.org/downloads/</t>
  </si>
  <si>
    <t>https://www.google.com/s2/favicons?domain=brasil.mapbiomas.org&amp;sz=64</t>
  </si>
  <si>
    <t>SIA/SUS – Produção Ambulatorial recebeu score considerando popularidade geral (3/5), uso/aderência institucional em VE (3/5), especificidade para VE (2/5) e adequação para estudos/compartilhamento (5/5).</t>
  </si>
  <si>
    <t>SIA/SUS – Produção Ambulatorial</t>
  </si>
  <si>
    <t>Brasil; produção ambulatorial no SUS</t>
  </si>
  <si>
    <t>Procedimentos ambulatoriais, atendimentos, exames, terapias e produção por estabelecimento.</t>
  </si>
  <si>
    <t>Monitoramento de acesso; queda de oferta em emergências; relação entre procedimentos e território.</t>
  </si>
  <si>
    <t>Base de produção/faturamento; pode refletir oferta e registro, não necessidade populacional.</t>
  </si>
  <si>
    <t>Our World in Data – COVID-19 recebeu score considerando popularidade geral (3/5), uso/aderência institucional em VE (3/5), especificidade para VE (2/5) e adequação para estudos/compartilhamento (4/5).</t>
  </si>
  <si>
    <t>Our World in Data – COVID-19</t>
  </si>
  <si>
    <t>Casos, mortes, testes, hospitalizações e vacinação por país.</t>
  </si>
  <si>
    <t>Séries globais limpas; comparação internacional; treino de modelos de previsão.</t>
  </si>
  <si>
    <t>Dados dependem das fontes nacionais; mudanças retrospectivas podem ocorrer.</t>
  </si>
  <si>
    <t>https://github.com/owid/covid-19-data/tree/master/public/data</t>
  </si>
  <si>
    <t>Registro de Ocupação Hospitalar COVID-19 recebeu score considerando popularidade geral (3/5), uso/aderência institucional em VE (3/5), especificidade para VE (2/5) e adequação para estudos/compartilhamento (4/5).</t>
  </si>
  <si>
    <t>Registro de Ocupação Hospitalar COVID-19</t>
  </si>
  <si>
    <t>Brasil; ocupação hospitalar</t>
  </si>
  <si>
    <t>Ocupação, internações e leitos no contexto da pandemia de COVID-19.</t>
  </si>
  <si>
    <t>Previsão de ocupação; pressão assistencial; capacidade hospitalar; alocação de recursos.</t>
  </si>
  <si>
    <t>Foco no contexto pandêmico; avaliar cobertura, completude e continuidade temporal.</t>
  </si>
  <si>
    <t>https://dadosabertos.saude.gov.br/dataset/registro-de-ocupacao-hospitalar-covid-19</t>
  </si>
  <si>
    <t>SIH/SUS – Sistema de Informações Hospitalares recebeu score considerando popularidade geral (3/5), uso/aderência institucional em VE (3/5), especificidade para VE (2/5) e adequação para estudos/compartilhamento (4/5).</t>
  </si>
  <si>
    <t>SIH/SUS – Sistema de Informações Hospitalares</t>
  </si>
  <si>
    <t>Brasil; internações no SUS</t>
  </si>
  <si>
    <t>Autorizações de internação hospitalar, procedimentos, CID, valores, UF/município e estabelecimento.</t>
  </si>
  <si>
    <t>Previsão de internações; carga assistencial; vigilância sindrômica hospitalar; redes de referência; custos.</t>
  </si>
  <si>
    <t>Base administrativa; não mede incidência diretamente; dependente de faturamento e regras do SUS.</t>
  </si>
  <si>
    <t>https://basedosdados.org/dataset/ff933265-8b61-4458-877a-173b3f38102b</t>
  </si>
  <si>
    <t>campo</t>
  </si>
  <si>
    <t>descrição</t>
  </si>
  <si>
    <t>Ordene a primeira aba pela coluna A em ordem crescente. Score = 35% popularidade geral + 35% uso institucional em VE + 20% especificidade VE + 10% adequação para estudos/compartilhamento.</t>
  </si>
  <si>
    <t>Ordene pela coluna B em ordem crescente para priorizar bases mais conhecidas/usadas no público geral, pesquisa e ciência de dados.</t>
  </si>
  <si>
    <t>Ordene pela coluna C em ordem crescente para priorizar bases com maior uso/aderência institucional em vigilância epidemiológica e saúde pública.</t>
  </si>
  <si>
    <t>Ordene pela coluna D em ordem crescente para priorizar bases específicas de VE, saúde pública, vigilância, estatísticas vitais ou vigilância genômica/epidêmica.</t>
  </si>
  <si>
    <t>Ordene pela coluna E em ordem crescente para priorizar bases mais adequadas a estudos aplicados, indicadores, painéis, modelagem e compartilhamento.</t>
  </si>
  <si>
    <t>Coluna F contém fórmula do score balanceado. As colunas G:J trazem as notas 1–5 de cada dimensão.</t>
  </si>
  <si>
    <t>URL de favicon/miniatura baseada no domínio da fonte oficial ou fonte inferida.</t>
  </si>
  <si>
    <t>Coluna de visualização com fórmula =IMAGE(thumbnail_url). A renderização depende do suporte do Excel/Google Sheets usado.</t>
  </si>
  <si>
    <t>sugestao_por_produto</t>
  </si>
  <si>
    <t>Aba com síntese de aplicações por cenário de uso. A primeira coluna foi nomeada exatamente como 'cenário'.</t>
  </si>
  <si>
    <t>total_registros</t>
  </si>
  <si>
    <t>observação</t>
  </si>
  <si>
    <t>Ranking qualitativo e crítico, não bibliométrico. Ajuste conforme evidências locais, data de atualização das fontes, qualidade dos dados, cobertura e governança.</t>
  </si>
  <si>
    <t>data_geracao</t>
  </si>
  <si>
    <t>2026-05-25</t>
  </si>
  <si>
    <t>indicador</t>
  </si>
  <si>
    <t>valor</t>
  </si>
  <si>
    <t>rankings_disponiveis</t>
  </si>
  <si>
    <t>rank_balanceado; rank_popularidade_geral; rank_uso_institucional_ve; rank_especificidade_ve; rank_adequacao_informes</t>
  </si>
  <si>
    <t>coluna_thumbnail_padronizada</t>
  </si>
  <si>
    <t>coluna_visualizacao_thumbnail</t>
  </si>
  <si>
    <t>aba_sugestao_por_produto</t>
  </si>
  <si>
    <t>Incluída</t>
  </si>
  <si>
    <t>primeiro_campo_sugestao_por_produto</t>
  </si>
  <si>
    <t>cenário</t>
  </si>
  <si>
    <t>top_1_balanceado</t>
  </si>
  <si>
    <t>top_1_popularidade_geral</t>
  </si>
  <si>
    <t>top_1_uso_institucional_ve</t>
  </si>
  <si>
    <t>top_1_especificidade_ve</t>
  </si>
  <si>
    <t>top_1_adequacao</t>
  </si>
  <si>
    <t>quando_usar</t>
  </si>
  <si>
    <t>principais_entregaveis</t>
  </si>
  <si>
    <t>cuidados</t>
  </si>
  <si>
    <t>Painel nacional de situação epidemiológica</t>
  </si>
  <si>
    <t>OpenDataSUS; DATASUS/TabNet; SIM; SINASC; SIVEP-Gripe; SINAN; SI-PNI</t>
  </si>
  <si>
    <t>Quando o objetivo é acompanhar eventos de notificação, estatísticas vitais, vacinação e internações no Brasil.</t>
  </si>
  <si>
    <t>Painéis; séries temporais; mapas; boletins; indicadores por UF/município.</t>
  </si>
  <si>
    <t>Documentar data de extração, atraso de notificação e mudanças de definição.</t>
  </si>
  <si>
    <t>Vigilância respiratória e hospitalar</t>
  </si>
  <si>
    <t>SIVEP-Gripe; InfoGripe; SIH/SUS; CDC FluView; WHO FluNet; ECDC Atlas</t>
  </si>
  <si>
    <t>Quando há foco em SRAG, influenza, hospitalização, leitos e alertas respiratórios.</t>
  </si>
  <si>
    <t>Nowcasting; alertas; previsão de leitos; curvas por semana epidemiológica.</t>
  </si>
  <si>
    <t>Considerar atraso de encerramento, viés de testagem e mudanças de critério.</t>
  </si>
  <si>
    <t>Arboviroses, clima e ambiente</t>
  </si>
  <si>
    <t>SINAN dengue/chikungunya/zika; InfoDengue; INMET; MapBiomas; NASA Earthdata; Copernicus CDS; PAHO Dengue</t>
  </si>
  <si>
    <t>Quando se deseja integrar casos, clima, território, ambiente e alertas precoces.</t>
  </si>
  <si>
    <t>Mapas de risco; variáveis climáticas; modelos espaço-temporais; alertas municipais.</t>
  </si>
  <si>
    <t>Definir defasagens plausíveis e compatibilizar escalas temporais/espaciais.</t>
  </si>
  <si>
    <t>Farmacovigilância e vigilância sanitária</t>
  </si>
  <si>
    <t>VigiMed; Notivisa; SNGPC; CMED; PARA; WHO GLASS; ECDC EARS-Net</t>
  </si>
  <si>
    <t>Quando a investigação envolve eventos adversos, medicamentos, produtos, alimentos ou AMR.</t>
  </si>
  <si>
    <t>Sinais de segurança; séries de consumo; relatórios regulatórios; mapas de risco.</t>
  </si>
  <si>
    <t>Notificações espontâneas não permitem inferir incidência sem métodos adicionais.</t>
  </si>
  <si>
    <t>Saúde suplementar e interface SUS-privado</t>
  </si>
  <si>
    <t>ANS Beneficiários; Operadoras; Produtos; D-TISS; NIP; Ressarcimento ao SUS</t>
  </si>
  <si>
    <t>Quando a pergunta envolve cobertura privada, acesso, reclamações, produção assistencial ou uso do SUS.</t>
  </si>
  <si>
    <t>Indicadores de cobertura; painéis por UF/município; séries setoriais.</t>
  </si>
  <si>
    <t>Interpretar reclamações como demandas notificadas e verificar revisões de dados.</t>
  </si>
  <si>
    <t>Equidade, determinantes sociais e população</t>
  </si>
  <si>
    <t>IBGE; SIDRA; Censo; PNS; VIGITEL; World Bank WDI/HNP; UNICEF; DHS/MICS; WHO Inequality Monitor</t>
  </si>
  <si>
    <t>Quando é necessário estratificar risco por renda, gênero, idade, território, acesso, saneamento e vulnerabilidade.</t>
  </si>
  <si>
    <t>Indicadores contextuais; estratificações; mapas de vulnerabilidade; modelos ecológicos.</t>
  </si>
  <si>
    <t>Evitar inferência ecológica indevida e documentar desenho amostral.</t>
  </si>
  <si>
    <t>Comparação internacional e saúde global</t>
  </si>
  <si>
    <t>WHO GHO; PAHO PLISA; ECDC Atlas; OECD Health Statistics; IHME GBD; World Bank; CDC WONDER</t>
  </si>
  <si>
    <t>Quando se deseja comparar tendências, cobertura, mortalidade e carga de doença entre países.</t>
  </si>
  <si>
    <t>Benchmarks; painéis multinacionais; indicadores padronizados; relatórios analíticos.</t>
  </si>
  <si>
    <t>Comparar definições, cobertura e intervalos de incerteza.</t>
  </si>
  <si>
    <t>Vigilância genômica e patógenos</t>
  </si>
  <si>
    <t>GISAID; NCBI Virus; SRA; ENA; Nextstrain; Global.health</t>
  </si>
  <si>
    <t>Quando o foco é variante, linhagem, filogenia, sequenciamento ou linelists de surtos.</t>
  </si>
  <si>
    <t>Árvores filogenéticas; mapas; linelists; painéis de variantes; relatórios genômicos.</t>
  </si>
  <si>
    <t>Respeitar termos de uso, metadados sensíveis, viés de amostragem e crédito aos depositantes.</t>
  </si>
  <si>
    <t>Resposta a emergências e saúde em desastres</t>
  </si>
  <si>
    <t>HDX/OCHA; EM-DAT; CEMADEN; ANA HidroWeb; WorldPop; NASA Earthdata</t>
  </si>
  <si>
    <t>Quando a análise ocorre em desastre, enchente, deslocamento ou emergência sanitária.</t>
  </si>
  <si>
    <t>Camadas de risco; população afetada; mapas; indicadores de resposta.</t>
  </si>
  <si>
    <t>Qualidade e atualização variam por fonte; checar licença e granularidade.</t>
  </si>
  <si>
    <t>Pesquisa acadêmica, replicação e NLP</t>
  </si>
  <si>
    <t>PhysioNet; MIMIC-IV; eICU; Harvard Dataverse; Zenodo; CORD-19; OSF; ArboIli</t>
  </si>
  <si>
    <t>Quando é necessário reusar dados acadêmicos, replicar estudos, treinar modelos ou minerar literatura.</t>
  </si>
  <si>
    <t>Datasets citáveis; notebooks; corpus; materiais de replicação; DOI.</t>
  </si>
  <si>
    <t>Verificar termos de acesso, ética, licença e se a base é primária ou derivada.</t>
  </si>
  <si>
    <t>Treinamento e prototipagem com dados sintéticos</t>
  </si>
  <si>
    <t>Synthea; CMS DE-SynPUF; OHDSI Eunomia; outbreaks; EpiModel; SDV; synthpop; Simulacrum</t>
  </si>
  <si>
    <t>Quando é necessário ensinar, testar pipelines ou demonstrar modelos sem dados pessoais reais.</t>
  </si>
  <si>
    <t>Bases sintéticas; scripts; pipelines; ambientes de teste; documentação.</t>
  </si>
  <si>
    <t>Não usar dados sintéticos para inferência epidemiológica real; avaliar fidelidade e disclosure risk.</t>
  </si>
  <si>
    <t>origem_tipo</t>
  </si>
  <si>
    <t>brasileira</t>
  </si>
  <si>
    <t>DATASUS / TabNet recebeu score considerando popularidade geral (5/5), uso/aderência institucional em VE (5/5), especificidade para VE (5/5) e adequação para estudos/compartilhamento (5/5).</t>
  </si>
  <si>
    <t>Ministério da Saúde / séries históricas</t>
  </si>
  <si>
    <t>Dataset/base de dados aberta ou fonte de indicadores</t>
  </si>
  <si>
    <t>Gratuita/acesso público, salvo restrições específicas da fonte</t>
  </si>
  <si>
    <t>Brasil; consultas tabulares a sistemas nacionais de saúde</t>
  </si>
  <si>
    <t>Sistema de tabulação pública de bases como SIM, SINASC, SIH, SIA, CNES e outras.</t>
  </si>
  <si>
    <t>Séries históricas, indicadores oficiais, dashboards e análises por município/UF.</t>
  </si>
  <si>
    <t>CSV; API; downloads; painéis; indicadores; metadados, conforme a fonte</t>
  </si>
  <si>
    <t>Vigilância epidemiológica, pesquisadores, gestores, cientistas de dados e saúde pública</t>
  </si>
  <si>
    <t>Verificar atualização, cobertura, definição dos indicadores, licenças e restrições de uso antes da análise.</t>
  </si>
  <si>
    <t>Painel Coronavírus Brasil recebeu score considerando popularidade geral (5/5), uso/aderência institucional em VE (5/5), especificidade para VE (5/5) e adequação para estudos/compartilhamento (5/5).</t>
  </si>
  <si>
    <t>Ministério da Saúde / COVID-19</t>
  </si>
  <si>
    <t>Painel Coronavírus Brasil</t>
  </si>
  <si>
    <t>Brasil; casos e óbitos de COVID-19</t>
  </si>
  <si>
    <t>Painel e dados agregados de COVID-19 por data e território.</t>
  </si>
  <si>
    <t>Séries históricas, excesso de risco, painéis e comparação com SIVEP/SIM.</t>
  </si>
  <si>
    <t>https://covid.saude.gov.br/</t>
  </si>
  <si>
    <t>https://www.google.com/s2/favicons?domain=covid.saude.gov.br&amp;sz=64</t>
  </si>
  <si>
    <t>SI-PNI - Sistema de Informação do Programa Nacional de Imunizações recebeu score considerando popularidade geral (5/5), uso/aderência institucional em VE (5/5), especificidade para VE (5/5) e adequação para estudos/compartilhamento (5/5).</t>
  </si>
  <si>
    <t>Ministério da Saúde / imunização</t>
  </si>
  <si>
    <t>SI-PNI - Sistema de Informação do Programa Nacional de Imunizações</t>
  </si>
  <si>
    <t>Brasil; vacinação, doses e coberturas</t>
  </si>
  <si>
    <t>Bases de vacinação e cobertura vacinal, incluindo recursos de COVID-19 no OpenDataSUS.</t>
  </si>
  <si>
    <t>Efetividade, cobertura, equidade, hesitação vacinal e avaliação de campanha.</t>
  </si>
  <si>
    <t>SIM - Sistema de Informações sobre Mortalidade recebeu score considerando popularidade geral (5/5), uso/aderência institucional em VE (5/5), especificidade para VE (5/5) e adequação para estudos/compartilhamento (5/5).</t>
  </si>
  <si>
    <t>Ministério da Saúde / estatísticas vitais</t>
  </si>
  <si>
    <t>SIM - Sistema de Informações sobre Mortalidade</t>
  </si>
  <si>
    <t>Brasil; óbitos e causas de morte</t>
  </si>
  <si>
    <t>Microdados e séries do sistema nacional de mortalidade.</t>
  </si>
  <si>
    <t>Excesso de mortalidade, causa básica, mortalidade por agravo, desigualdades e carga de doença.</t>
  </si>
  <si>
    <t>https://dadosabertos.saude.gov.br/dataset/sistema-de-informacao-sobre-mortalidade-sim</t>
  </si>
  <si>
    <t>SINAN - dengue recebeu score considerando popularidade geral (5/5), uso/aderência institucional em VE (5/5), especificidade para VE (5/5) e adequação para estudos/compartilhamento (5/5).</t>
  </si>
  <si>
    <t>Ministério da Saúde / arboviroses</t>
  </si>
  <si>
    <t>SINAN - dengue</t>
  </si>
  <si>
    <t>Brasil; notificações de dengue</t>
  </si>
  <si>
    <t>Notificações de dengue em sistemas nacionais de agravos de notificação.</t>
  </si>
  <si>
    <t>Vigilância de arboviroses, mapas de risco, séries semanais e modelos espaço-temporais.</t>
  </si>
  <si>
    <t>https://datasus.saude.gov.br/acesso-a-informacao/doencas-e-agravos-de-notificacao-de-2007-em-diante-sinan/</t>
  </si>
  <si>
    <t>SINASC - Sistema de Informações sobre Nascidos Vivos recebeu score considerando popularidade geral (5/5), uso/aderência institucional em VE (5/5), especificidade para VE (5/5) e adequação para estudos/compartilhamento (5/5).</t>
  </si>
  <si>
    <t>SINASC - Sistema de Informações sobre Nascidos Vivos</t>
  </si>
  <si>
    <t>Brasil; nascimentos, condições maternas e do recém-nascido</t>
  </si>
  <si>
    <t>Registros de nascidos vivos, características maternas, gestacionais e do parto.</t>
  </si>
  <si>
    <t>Indicadores perinatais, denominadores de nascimentos, risco neonatal e desigualdade territorial.</t>
  </si>
  <si>
    <t>https://dadosabertos.saude.gov.br/dataset/sistema-de-informacao-sobre-nascidos-vivos-sinasc</t>
  </si>
  <si>
    <t>SIVEP-Gripe / SRAG recebeu score considerando popularidade geral (5/5), uso/aderência institucional em VE (5/5), especificidade para VE (5/5) e adequação para estudos/compartilhamento (5/5).</t>
  </si>
  <si>
    <t>Ministério da Saúde / vigilância respiratória</t>
  </si>
  <si>
    <t>Brasil; notificações de síndrome respiratória aguda grave</t>
  </si>
  <si>
    <t>Dados de vigilância hospitalar de SRAG e vírus respiratórios.</t>
  </si>
  <si>
    <t>Nowcasting, tendência respiratória, severidade, internações e óbitos por SRAG.</t>
  </si>
  <si>
    <t>https://dadosabertos.saude.gov.br/dataset/srag-2021-a-2024</t>
  </si>
  <si>
    <t>internacional</t>
  </si>
  <si>
    <t>WHO Data Sets recebeu score considerando popularidade geral (5/5), uso/aderência institucional em VE (5/5), especificidade para VE (5/5) e adequação para estudos/compartilhamento (5/5).</t>
  </si>
  <si>
    <t>OMS / dados globais</t>
  </si>
  <si>
    <t>WHO Data Sets</t>
  </si>
  <si>
    <t>Global; coleções de dados da OMS</t>
  </si>
  <si>
    <t>Página de conjuntos de dados globais da OMS.</t>
  </si>
  <si>
    <t>Mapeamento de fontes oficiais, indicadores globais e painéis multinacionais.</t>
  </si>
  <si>
    <t>https://www.who.int/data/sets</t>
  </si>
  <si>
    <t>WHO GHO OData API recebeu score considerando popularidade geral (5/5), uso/aderência institucional em VE (5/5), especificidade para VE (5/5) e adequação para estudos/compartilhamento (5/5).</t>
  </si>
  <si>
    <t>OMS / API e indicadores</t>
  </si>
  <si>
    <t>WHO GHO OData API</t>
  </si>
  <si>
    <t>Global; API OData do Global Health Observatory</t>
  </si>
  <si>
    <t>API programática para indicadores e metadados do GHO.</t>
  </si>
  <si>
    <t>Pipelines automatizados, painéis e comparação de indicadores por país/região.</t>
  </si>
  <si>
    <t>https://www.who.int/data/gho/info/gho-odata-api</t>
  </si>
  <si>
    <t>WHO Global Health Observatory Indicators recebeu score considerando popularidade geral (5/5), uso/aderência institucional em VE (5/5), especificidade para VE (5/5) e adequação para estudos/compartilhamento (5/5).</t>
  </si>
  <si>
    <t>OMS / indicadores globais</t>
  </si>
  <si>
    <t>WHO Global Health Observatory Indicators</t>
  </si>
  <si>
    <t>Global; indicadores de saúde dos Estados Membros</t>
  </si>
  <si>
    <t>Portal de indicadores globais de saúde da OMS.</t>
  </si>
  <si>
    <t>Comparação internacional, dashboards e estudos de saúde global.</t>
  </si>
  <si>
    <t>World Health Statistics - WHO recebeu score considerando popularidade geral (5/5), uso/aderência institucional em VE (5/5), especificidade para VE (5/5) e adequação para estudos/compartilhamento (4/5).</t>
  </si>
  <si>
    <t>OMS / publicações e Excel</t>
  </si>
  <si>
    <t>World Health Statistics - WHO</t>
  </si>
  <si>
    <t>Global; estatísticas anuais de saúde</t>
  </si>
  <si>
    <t>Relatórios anuais com estatísticas recentes e, quando aplicável, arquivos Excel.</t>
  </si>
  <si>
    <t>Benchmarks, painéis de indicadores e relatórios comparativos.</t>
  </si>
  <si>
    <t>https://www.who.int/data/gho/publications/world-health-statistics</t>
  </si>
  <si>
    <t>e-SUS Notifica / e-SUS VE recebeu score considerando popularidade geral (4/5), uso/aderência institucional em VE (5/5), especificidade para VE (5/5) e adequação para estudos/compartilhamento (5/5).</t>
  </si>
  <si>
    <t>Ministério da Saúde / notificações</t>
  </si>
  <si>
    <t>e-SUS Notifica / e-SUS VE</t>
  </si>
  <si>
    <t>Brasil; notificações em sistemas eletrônicos de vigilância</t>
  </si>
  <si>
    <t>Bases de notificações de agravos e eventos específicos conforme publicações no OpenDataSUS.</t>
  </si>
  <si>
    <t>Análise de notificações, completude, atraso, surtos e painéis.</t>
  </si>
  <si>
    <t>https://dadosabertos.saude.gov.br/dataset</t>
  </si>
  <si>
    <t>ECDC Surveillance Atlas of Infectious Diseases recebeu score considerando popularidade geral (4/5), uso/aderência institucional em VE (5/5), especificidade para VE (5/5) e adequação para estudos/compartilhamento (5/5).</t>
  </si>
  <si>
    <t>ECDC / vigilância europeia</t>
  </si>
  <si>
    <t>Europa; doenças infecciosas notificadas ao ECDC</t>
  </si>
  <si>
    <t>Atlas interativo para dados de doenças infecciosas.</t>
  </si>
  <si>
    <t>Comparação europeia, mapas, séries e monitoramento de transmissíveis.</t>
  </si>
  <si>
    <t>InfoDengue recebeu score considerando popularidade geral (4/5), uso/aderência institucional em VE (5/5), especificidade para VE (5/5) e adequação para estudos/compartilhamento (5/5).</t>
  </si>
  <si>
    <t>Fiocruz / arboviroses</t>
  </si>
  <si>
    <t>Brasil; alerta de arboviroses por município</t>
  </si>
  <si>
    <t>Sistema de alerta para dengue e arboviroses com séries e indicadores municipais.</t>
  </si>
  <si>
    <t>Alerta precoce, clima, mapas municipais, séries semanais e modelos de risco.</t>
  </si>
  <si>
    <t>Nextstrain Datasets recebeu score considerando popularidade geral (4/5), uso/aderência institucional em VE (5/5), especificidade para VE (5/5) e adequação para estudos/compartilhamento (5/5).</t>
  </si>
  <si>
    <t>Vigilância genômica / visualização</t>
  </si>
  <si>
    <t>Nextstrain Datasets</t>
  </si>
  <si>
    <t>Global; visualizações filogenéticas de patógenos</t>
  </si>
  <si>
    <t>Visualizações interativas de evolução e dispersão de patógenos.</t>
  </si>
  <si>
    <t>Comunicação de variantes, filogenia, mapas e narratives.</t>
  </si>
  <si>
    <t>https://nextstrain.org/</t>
  </si>
  <si>
    <t>https://www.google.com/s2/favicons?domain=nextstrain.org&amp;sz=64</t>
  </si>
  <si>
    <t>PAHO Core Indicators recebeu score considerando popularidade geral (4/5), uso/aderência institucional em VE (5/5), especificidade para VE (5/5) e adequação para estudos/compartilhamento (5/5).</t>
  </si>
  <si>
    <t>OPAS / indicadores básicos</t>
  </si>
  <si>
    <t>PAHO Core Indicators</t>
  </si>
  <si>
    <t>Américas; indicadores básicos de saúde</t>
  </si>
  <si>
    <t>Portal de indicadores básicos de saúde com séries e desagregações.</t>
  </si>
  <si>
    <t>Benchmarking regional, relatórios e monitoramento de tendências.</t>
  </si>
  <si>
    <t>https://opendata.paho.org/en/core-indicators</t>
  </si>
  <si>
    <t>PAHO Dengue Indicators recebeu score considerando popularidade geral (4/5), uso/aderência institucional em VE (5/5), especificidade para VE (5/5) e adequação para estudos/compartilhamento (5/5).</t>
  </si>
  <si>
    <t>OPAS / arboviroses</t>
  </si>
  <si>
    <t>PAHO Dengue Indicators</t>
  </si>
  <si>
    <t>Américas; indicadores de dengue e arboviroses</t>
  </si>
  <si>
    <t>Dados regionais de dengue e outros temas de saúde pública.</t>
  </si>
  <si>
    <t>Vigilância regional de arboviroses, sazonalidade e risco.</t>
  </si>
  <si>
    <t>https://opendata.paho.org/en/browse</t>
  </si>
  <si>
    <t>PAHO/EIH Open Data - PLISA recebeu score considerando popularidade geral (4/5), uso/aderência institucional em VE (5/5), especificidade para VE (5/5) e adequação para estudos/compartilhamento (5/5).</t>
  </si>
  <si>
    <t>OPAS / dados regionais</t>
  </si>
  <si>
    <t>PAHO/EIH Open Data - PLISA</t>
  </si>
  <si>
    <t>Américas; portal de dados abertos da OPAS/OMS</t>
  </si>
  <si>
    <t>Dados dos países e territórios da Região das Américas.</t>
  </si>
  <si>
    <t>Comparação regional, painéis e indicadores de saúde pública.</t>
  </si>
  <si>
    <t>SINAN - chikungunya recebeu score considerando popularidade geral (4/5), uso/aderência institucional em VE (5/5), especificidade para VE (5/5) e adequação para estudos/compartilhamento (5/5).</t>
  </si>
  <si>
    <t>SINAN - chikungunya</t>
  </si>
  <si>
    <t>Brasil; notificações de chikungunya</t>
  </si>
  <si>
    <t>Notificações de chikungunya e variáveis epidemiológicas relacionadas.</t>
  </si>
  <si>
    <t>Monitoramento de arboviroses, sazonalidade, geografia e severidade.</t>
  </si>
  <si>
    <t>SINAN - hanseníase recebeu score considerando popularidade geral (4/5), uso/aderência institucional em VE (5/5), especificidade para VE (5/5) e adequação para estudos/compartilhamento (5/5).</t>
  </si>
  <si>
    <t>Ministério da Saúde / doenças transmissíveis</t>
  </si>
  <si>
    <t>SINAN - hanseníase</t>
  </si>
  <si>
    <t>Brasil; notificações de hanseníase</t>
  </si>
  <si>
    <t>Registros de hanseníase e variáveis clínicas/operacionais.</t>
  </si>
  <si>
    <t>Monitoramento de detecção, incapacidade, contatos e desigualdade espacial.</t>
  </si>
  <si>
    <t>SINAN - tuberculose recebeu score considerando popularidade geral (4/5), uso/aderência institucional em VE (5/5), especificidade para VE (5/5) e adequação para estudos/compartilhamento (5/5).</t>
  </si>
  <si>
    <t>SINAN - tuberculose</t>
  </si>
  <si>
    <t>Brasil; notificações de tuberculose</t>
  </si>
  <si>
    <t>Registros de casos de tuberculose e variáveis de acompanhamento.</t>
  </si>
  <si>
    <t>Coortes de tratamento, abandono, encerramento, risco e desigualdades.</t>
  </si>
  <si>
    <t>SINAN - zika recebeu score considerando popularidade geral (4/5), uso/aderência institucional em VE (5/5), especificidade para VE (5/5) e adequação para estudos/compartilhamento (5/5).</t>
  </si>
  <si>
    <t>SINAN - zika</t>
  </si>
  <si>
    <t>Brasil; notificações de zika</t>
  </si>
  <si>
    <t>Notificações de zika em base nacional de agravos.</t>
  </si>
  <si>
    <t>Monitoramento de zika, epidemias, integração com nascimentos e malformações.</t>
  </si>
  <si>
    <t>WHO Global Health Estimates recebeu score considerando popularidade geral (4/5), uso/aderência institucional em VE (5/5), especificidade para VE (5/5) e adequação para estudos/compartilhamento (5/5).</t>
  </si>
  <si>
    <t>OMS / estimativas globais</t>
  </si>
  <si>
    <t>WHO Global Health Estimates</t>
  </si>
  <si>
    <t>Global; estimativas de mortalidade e carga de doença</t>
  </si>
  <si>
    <t>Estimativas globais da OMS por causa, sexo, idade e país/região.</t>
  </si>
  <si>
    <t>Carga de doença, tendências, comparação internacional e priorização.</t>
  </si>
  <si>
    <t>https://www.who.int/data/global-health-estimates</t>
  </si>
  <si>
    <t>WHO Global TB Database recebeu score considerando popularidade geral (4/5), uso/aderência institucional em VE (5/5), especificidade para VE (5/5) e adequação para estudos/compartilhamento (5/5).</t>
  </si>
  <si>
    <t>Tuberculose</t>
  </si>
  <si>
    <t>WHO Global TB Database</t>
  </si>
  <si>
    <t>Global; tuberculose</t>
  </si>
  <si>
    <t>Dados globais sobre TB, notificação, tratamento e carga.</t>
  </si>
  <si>
    <t>Vigilância de TB, metas globais e comparação internacional.</t>
  </si>
  <si>
    <t>https://www.who.int/teams/global-tuberculosis-programme/data</t>
  </si>
  <si>
    <t>WHO Mortality Database recebeu score considerando popularidade geral (4/5), uso/aderência institucional em VE (5/5), especificidade para VE (5/5) e adequação para estudos/compartilhamento (5/5).</t>
  </si>
  <si>
    <t>OMS / mortalidade</t>
  </si>
  <si>
    <t>WHO Mortality Database</t>
  </si>
  <si>
    <t>Global; mortalidade por causa segundo padrões internacionais</t>
  </si>
  <si>
    <t>Base internacional de mortalidade e causa de morte.</t>
  </si>
  <si>
    <t>Carga de doença, comparação internacional e mortalidade por causa.</t>
  </si>
  <si>
    <t>https://www.who.int/data/data-collection-tools/who-mortality-database</t>
  </si>
  <si>
    <t>IHME GBD Results recebeu score considerando popularidade geral (5/5), uso/aderência institucional em VE (4/5), especificidade para VE (5/5) e adequação para estudos/compartilhamento (5/5).</t>
  </si>
  <si>
    <t>IHME / carga de doença</t>
  </si>
  <si>
    <t>IHME GBD Results</t>
  </si>
  <si>
    <t>Global; carga de doença, fatores de risco e mortalidade</t>
  </si>
  <si>
    <t>Estimativas do Global Burden of Disease por país, causa, idade e sexo.</t>
  </si>
  <si>
    <t>Priorização, carga de doença, comparação internacional e tendências.</t>
  </si>
  <si>
    <t>https://www.healthdata.org/research-analysis/gbd</t>
  </si>
  <si>
    <t>Johns Hopkins CSSE COVID-19 Data Repository recebeu score considerando popularidade geral (5/5), uso/aderência institucional em VE (4/5), especificidade para VE (5/5) e adequação para estudos/compartilhamento (5/5).</t>
  </si>
  <si>
    <t>Universidade / COVID-19</t>
  </si>
  <si>
    <t>Johns Hopkins CSSE COVID-19 Data Repository</t>
  </si>
  <si>
    <t>Global; casos e óbitos COVID-19</t>
  </si>
  <si>
    <t>Repositório do dashboard COVID-19 da Johns Hopkins University CSSE.</t>
  </si>
  <si>
    <t>Séries globais, painéis, ensino e replicação de análises.</t>
  </si>
  <si>
    <t>https://github.com/CSSEGISandData/COVID-19</t>
  </si>
  <si>
    <t>GISAID recebeu score considerando popularidade geral (4/5), uso/aderência institucional em VE (5/5), especificidade para VE (5/5) e adequação para estudos/compartilhamento (4/5).</t>
  </si>
  <si>
    <t>Vigilância genômica</t>
  </si>
  <si>
    <t>GISAID</t>
  </si>
  <si>
    <t>Global; sequências virais e metadados</t>
  </si>
  <si>
    <t>Compartilhamento de sequências virais para vigilância genômica.</t>
  </si>
  <si>
    <t>Variantes, vigilância genômica, filogenia e alerta de patógenos.</t>
  </si>
  <si>
    <t>https://gisaid.org/</t>
  </si>
  <si>
    <t>https://www.google.com/s2/favicons?domain=gisaid.org&amp;sz=64</t>
  </si>
  <si>
    <t>Global Influenza Programme FluNet recebeu score considerando popularidade geral (4/5), uso/aderência institucional em VE (5/5), especificidade para VE (5/5) e adequação para estudos/compartilhamento (4/5).</t>
  </si>
  <si>
    <t>OMS / influenza</t>
  </si>
  <si>
    <t>Global Influenza Programme FluNet</t>
  </si>
  <si>
    <t>Global; vigilância de influenza</t>
  </si>
  <si>
    <t>Sistema global de vigilância virológica de influenza.</t>
  </si>
  <si>
    <t>Sazonalidade, cepas circulantes, vigilância laboratorial e modelos.</t>
  </si>
  <si>
    <t>https://www.who.int/tools/flunet</t>
  </si>
  <si>
    <t>Global.health recebeu score considerando popularidade geral (4/5), uso/aderência institucional em VE (5/5), especificidade para VE (5/5) e adequação para estudos/compartilhamento (4/5).</t>
  </si>
  <si>
    <t>Epidemiologia / linelist</t>
  </si>
  <si>
    <t>Global.health</t>
  </si>
  <si>
    <t>Global; linelists e dados de surtos</t>
  </si>
  <si>
    <t>Plataforma para dados individualizados/agregados de eventos epidêmicos.</t>
  </si>
  <si>
    <t>Resposta a surtos, linelists, modelagem e investigação epidemiológica.</t>
  </si>
  <si>
    <t>https://global.health/</t>
  </si>
  <si>
    <t>https://www.google.com/s2/favicons?domain=global.health&amp;sz=64</t>
  </si>
  <si>
    <t>Painéis de Indicadores da Secretaria de Vigilância em Saúde e Ambiente recebeu score considerando popularidade geral (4/5), uso/aderência institucional em VE (5/5), especificidade para VE (5/5) e adequação para estudos/compartilhamento (4/5).</t>
  </si>
  <si>
    <t>Ministério da Saúde / painéis de vigilância</t>
  </si>
  <si>
    <t>Painéis de Indicadores da Secretaria de Vigilância em Saúde e Ambiente</t>
  </si>
  <si>
    <t>Brasil; painéis e boletins por tema de vigilância</t>
  </si>
  <si>
    <t>Painéis temáticos e publicações de indicadores de vigilância em saúde.</t>
  </si>
  <si>
    <t>Comunicação de risco, monitoramento temático, tabulações e relatórios.</t>
  </si>
  <si>
    <t>https://www.gov.br/saude/pt-br/assuntos/saude-de-a-a-z</t>
  </si>
  <si>
    <t>SINAN - violência interpessoal/autoprovocada recebeu score considerando popularidade geral (4/5), uso/aderência institucional em VE (5/5), especificidade para VE (5/5) e adequação para estudos/compartilhamento (4/5).</t>
  </si>
  <si>
    <t>Ministério da Saúde / violências</t>
  </si>
  <si>
    <t>SINAN - violência interpessoal/autoprovocada</t>
  </si>
  <si>
    <t>Brasil; notificações de violência</t>
  </si>
  <si>
    <t>Registros de violências e agravos relacionados a notificações compulsórias.</t>
  </si>
  <si>
    <t>Vigilância de violências, vulnerabilidade, gênero, infância e políticas intersetoriais.</t>
  </si>
  <si>
    <t>WHO GLASS recebeu score considerando popularidade geral (4/5), uso/aderência institucional em VE (5/5), especificidade para VE (5/5) e adequação para estudos/compartilhamento (4/5).</t>
  </si>
  <si>
    <t>OMS / resistência antimicrobiana</t>
  </si>
  <si>
    <t>WHO GLASS</t>
  </si>
  <si>
    <t>Global; AMR e uso de antimicrobianos</t>
  </si>
  <si>
    <t>Sistema global de vigilância de resistência antimicrobiana e uso de antimicrobianos.</t>
  </si>
  <si>
    <t>AMR, vigilância laboratorial e comparação internacional.</t>
  </si>
  <si>
    <t>https://www.who.int/initiatives/glass</t>
  </si>
  <si>
    <t>WHO Global Malaria Programme data recebeu score considerando popularidade geral (4/5), uso/aderência institucional em VE (5/5), especificidade para VE (5/5) e adequação para estudos/compartilhamento (4/5).</t>
  </si>
  <si>
    <t>Malária</t>
  </si>
  <si>
    <t>WHO Global Malaria Programme data</t>
  </si>
  <si>
    <t>Global; malária</t>
  </si>
  <si>
    <t>Dados e relatórios globais de malária.</t>
  </si>
  <si>
    <t>Vigilância de malária, risco, cobertura de intervenção e carga.</t>
  </si>
  <si>
    <t>https://www.who.int/teams/global-malaria-programme/reports</t>
  </si>
  <si>
    <t>OpenDataSUS - catálogo de dados abertos do Ministério da Saúde recebeu score considerando popularidade geral (4/5), uso/aderência institucional em VE (5/5), especificidade para VE (4/5) e adequação para estudos/compartilhamento (5/5).</t>
  </si>
  <si>
    <t>Ministério da Saúde / dados abertos</t>
  </si>
  <si>
    <t>OpenDataSUS - catálogo de dados abertos do Ministério da Saúde</t>
  </si>
  <si>
    <t>Brasil; catálogo CKAN de datasets do Ministério da Saúde</t>
  </si>
  <si>
    <t>Catálogo de bases e recursos abertos do SUS, incluindo APIs, CSV, JSON, XML e documentação.</t>
  </si>
  <si>
    <t>Inventário de bases, descoberta de recursos, pipelines e documentação de dados abertos de saúde.</t>
  </si>
  <si>
    <t>CDC Data &amp; Statistics / data.cdc.gov recebeu score considerando popularidade geral (5/5), uso/aderência institucional em VE (4/5), especificidade para VE (4/5) e adequação para estudos/compartilhamento (5/5).</t>
  </si>
  <si>
    <t>CDC / dados abertos</t>
  </si>
  <si>
    <t>CDC Data &amp; Statistics / data.cdc.gov</t>
  </si>
  <si>
    <t>Estados Unidos; datasets públicos de saúde</t>
  </si>
  <si>
    <t>Portal de dados abertos do CDC com datasets e APIs.</t>
  </si>
  <si>
    <t>Reuso de dados, benchmarking e métodos de dados abertos.</t>
  </si>
  <si>
    <t>CNES - Cadastro Nacional de Estabelecimentos de Saúde recebeu score considerando popularidade geral (5/5), uso/aderência institucional em VE (4/5), especificidade para VE (4/5) e adequação para estudos/compartilhamento (5/5).</t>
  </si>
  <si>
    <t>Ministério da Saúde / rede assistencial</t>
  </si>
  <si>
    <t>CNES - Cadastro Nacional de Estabelecimentos de Saúde</t>
  </si>
  <si>
    <t>Brasil; estabelecimentos, serviços, equipes e leitos</t>
  </si>
  <si>
    <t>Cadastro nacional de estabelecimentos e recursos de saúde.</t>
  </si>
  <si>
    <t>Capacidade assistencial, geografia de serviços, leitos, equipes e infraestrutura.</t>
  </si>
  <si>
    <t>https://datasus.saude.gov.br/cnes-estabelecimentos/</t>
  </si>
  <si>
    <t>NCBI Virus recebeu score considerando popularidade geral (5/5), uso/aderência institucional em VE (4/5), especificidade para VE (4/5) e adequação para estudos/compartilhamento (5/5).</t>
  </si>
  <si>
    <t>Genômica / sequências</t>
  </si>
  <si>
    <t>NCBI Virus</t>
  </si>
  <si>
    <t>Global; sequências virais</t>
  </si>
  <si>
    <t>Portal do NCBI para busca e download de sequências virais.</t>
  </si>
  <si>
    <t>Vigilância genômica, bioinformática, variantes e filogenia.</t>
  </si>
  <si>
    <t>https://www.ncbi.nlm.nih.gov/labs/virus/vssi/#/</t>
  </si>
  <si>
    <t>https://www.google.com/s2/favicons?domain=ncbi.nlm.nih.gov&amp;sz=64</t>
  </si>
  <si>
    <t>Our World in Data COVID-19 dataset recebeu score considerando popularidade geral (5/5), uso/aderência institucional em VE (4/5), especificidade para VE (4/5) e adequação para estudos/compartilhamento (5/5).</t>
  </si>
  <si>
    <t>Universidade/ONG / COVID-19</t>
  </si>
  <si>
    <t>Our World in Data COVID-19 dataset</t>
  </si>
  <si>
    <t>Global; COVID-19, vacinação, testes e indicadores</t>
  </si>
  <si>
    <t>Dataset documentado de COVID-19 mantido pela Our World in Data.</t>
  </si>
  <si>
    <t>Painéis, análises globais, ensino e reprodutibilidade.</t>
  </si>
  <si>
    <t>SIH/SUS - Sistema de Informações Hospitalares recebeu score considerando popularidade geral (5/5), uso/aderência institucional em VE (4/5), especificidade para VE (4/5) e adequação para estudos/compartilhamento (5/5).</t>
  </si>
  <si>
    <t>Ministério da Saúde / produção hospitalar</t>
  </si>
  <si>
    <t>SIH/SUS - Sistema de Informações Hospitalares</t>
  </si>
  <si>
    <t>Brasil; internações hospitalares no SUS</t>
  </si>
  <si>
    <t>Autorizações de internação hospitalar, diagnósticos, procedimentos e valores.</t>
  </si>
  <si>
    <t>Internações por agravo, severidade, utilização de serviços, séries e carga hospitalar.</t>
  </si>
  <si>
    <t>https://datasus.saude.gov.br/acesso-a-informacao/producao-hospitalar-sih-sus/</t>
  </si>
  <si>
    <t>NCBI SRA - Sequence Read Archive recebeu score considerando popularidade geral (5/5), uso/aderência institucional em VE (4/5), especificidade para VE (4/5) e adequação para estudos/compartilhamento (4/5).</t>
  </si>
  <si>
    <t>Genômica / dados brutos</t>
  </si>
  <si>
    <t>NCBI SRA - Sequence Read Archive</t>
  </si>
  <si>
    <t>Global; leituras brutas de sequenciamento</t>
  </si>
  <si>
    <t>Repositório de dados brutos de sequenciamento genômico.</t>
  </si>
  <si>
    <t>Reanálise genômica, patógenos, metagenômica e validação de pipelines.</t>
  </si>
  <si>
    <t>https://www.ncbi.nlm.nih.gov/sra</t>
  </si>
  <si>
    <t>e-SUS Sinan / Mpox recebeu score considerando popularidade geral (3/5), uso/aderência institucional em VE (5/5), especificidade para VE (5/5) e adequação para estudos/compartilhamento (5/5).</t>
  </si>
  <si>
    <t>Ministério da Saúde / vigilância epidemiológica</t>
  </si>
  <si>
    <t>e-SUS Sinan / Mpox</t>
  </si>
  <si>
    <t>Brasil; notificações de Mpox</t>
  </si>
  <si>
    <t>Base de notificações de Mpox publicada no ecossistema e-SUS Sinan/OpenDataSUS.</t>
  </si>
  <si>
    <t>Monitoramento de Mpox, perfil epidemiológico, tendência e análise territorial.</t>
  </si>
  <si>
    <t>https://dadosabertos.saude.gov.br/dataset?tags=Vigil%C3%A2ncia+Epidemiol%C3%B3gica</t>
  </si>
  <si>
    <t>InfoGripe Fiocruz recebeu score considerando popularidade geral (3/5), uso/aderência institucional em VE (5/5), especificidade para VE (5/5) e adequação para estudos/compartilhamento (5/5).</t>
  </si>
  <si>
    <t>Fiocruz / vigilância respiratória</t>
  </si>
  <si>
    <t>InfoGripe Fiocruz</t>
  </si>
  <si>
    <t>Brasil; monitoramento de SRAG e vírus respiratórios</t>
  </si>
  <si>
    <t>Sistema de monitoramento e boletins de síndrome respiratória aguda grave.</t>
  </si>
  <si>
    <t>Nowcasting, alertas respiratórios, boletins e comunicação de risco.</t>
  </si>
  <si>
    <t>https://info.gripe.fiocruz.br/</t>
  </si>
  <si>
    <t>https://www.google.com/s2/favicons?domain=info.gripe.fiocruz.br&amp;sz=64</t>
  </si>
  <si>
    <t>PNS - Pesquisa Nacional de Saúde recebeu score considerando popularidade geral (5/5), uso/aderência institucional em VE (4/5), especificidade para VE (3/5) e adequação para estudos/compartilhamento (5/5).</t>
  </si>
  <si>
    <t>IBGE / Ministério da Saúde</t>
  </si>
  <si>
    <t>PNS - Pesquisa Nacional de Saúde</t>
  </si>
  <si>
    <t>Brasil; inquérito domiciliar de saúde</t>
  </si>
  <si>
    <t>Pesquisa nacional com dados de morbidade, utilização de serviços, estilo de vida e saúde.</t>
  </si>
  <si>
    <t>Determinantes, morbidade autorreferida, fatores de risco, acesso e desigualdade.</t>
  </si>
  <si>
    <t>https://www.ibge.gov.br/estatisticas/sociais/saude/9160-pesquisa-nacional-de-saude.html</t>
  </si>
  <si>
    <t>https://www.google.com/s2/favicons?domain=ibge.gov.br&amp;sz=64</t>
  </si>
  <si>
    <t>World Bank DataBank - Health Nutrition and Population Statistics recebeu score considerando popularidade geral (5/5), uso/aderência institucional em VE (4/5), especificidade para VE (3/5) e adequação para estudos/compartilhamento (5/5).</t>
  </si>
  <si>
    <t>World Bank / DataBank</t>
  </si>
  <si>
    <t>World Bank DataBank - Health Nutrition and Population Statistics</t>
  </si>
  <si>
    <t>Global; indicadores de saúde, nutrição e população</t>
  </si>
  <si>
    <t>Estatísticas reunidas de fontes internacionais no DataBank.</t>
  </si>
  <si>
    <t>Determinantes, denominadores, comparação internacional e contexto.</t>
  </si>
  <si>
    <t>https://databank.worldbank.org/source/health-nutrition-and-population-statistics</t>
  </si>
  <si>
    <t>https://www.google.com/s2/favicons?domain=databank.worldbank.org&amp;sz=64</t>
  </si>
  <si>
    <t>CIDACS/Fiocruz - Plataforma de Dados Desidentificados recebeu score considerando popularidade geral (3/5), uso/aderência institucional em VE (5/5), especificidade para VE (5/5) e adequação para estudos/compartilhamento (4/5).</t>
  </si>
  <si>
    <t>Fiocruz / dados desidentificados</t>
  </si>
  <si>
    <t>CIDACS/Fiocruz - Plataforma de Dados Desidentificados</t>
  </si>
  <si>
    <t>Brasil; dados desidentificados e integrados</t>
  </si>
  <si>
    <t>Plataforma de dados desidentificados para pesquisa e gestão em saúde pública.</t>
  </si>
  <si>
    <t>Coortes administrativas, linkage, determinantes sociais e políticas públicas.</t>
  </si>
  <si>
    <t>https://cidacs.bahia.fiocruz.br/pdd/</t>
  </si>
  <si>
    <t>https://www.google.com/s2/favicons?domain=cidacs.bahia.fiocruz.br&amp;sz=64</t>
  </si>
  <si>
    <t>ECDC EARS-Net recebeu score considerando popularidade geral (3/5), uso/aderência institucional em VE (5/5), especificidade para VE (5/5) e adequação para estudos/compartilhamento (4/5).</t>
  </si>
  <si>
    <t>ECDC / AMR</t>
  </si>
  <si>
    <t>ECDC EARS-Net</t>
  </si>
  <si>
    <t>Europa; resistência antimicrobiana</t>
  </si>
  <si>
    <t>Rede europeia de vigilância de AMR.</t>
  </si>
  <si>
    <t>AMR, laboratório, comparação regional e modelagem de resistência.</t>
  </si>
  <si>
    <t>https://www.ecdc.europa.eu/en/about-us/partnerships-and-networks/disease-and-laboratory-networks/ears-net</t>
  </si>
  <si>
    <t>CDC COVID Data Tracker archive/data recebeu score considerando popularidade geral (4/5), uso/aderência institucional em VE (4/5), especificidade para VE (5/5) e adequação para estudos/compartilhamento (4/5).</t>
  </si>
  <si>
    <t>CDC / COVID-19</t>
  </si>
  <si>
    <t>CDC COVID Data Tracker archive/data</t>
  </si>
  <si>
    <t>Estados Unidos; dados e painéis de COVID-19</t>
  </si>
  <si>
    <t>Rastreador de dados de COVID-19 e indicadores agregados.</t>
  </si>
  <si>
    <t>Séries de COVID-19, vacinação, internações e comparação metodológica.</t>
  </si>
  <si>
    <t>https://covid.cdc.gov/covid-data-tracker/</t>
  </si>
  <si>
    <t>https://www.google.com/s2/favicons?domain=covid.cdc.gov&amp;sz=64</t>
  </si>
  <si>
    <t>CDC FluView Interactive recebeu score considerando popularidade geral (4/5), uso/aderência institucional em VE (4/5), especificidade para VE (5/5) e adequação para estudos/compartilhamento (4/5).</t>
  </si>
  <si>
    <t>CDC / influenza</t>
  </si>
  <si>
    <t>CDC FluView Interactive</t>
  </si>
  <si>
    <t>Estados Unidos; vigilância de influenza</t>
  </si>
  <si>
    <t>Painéis e dados de vigilância de influenza.</t>
  </si>
  <si>
    <t>Vigilância respiratória, sazonalidade, modelos e comparação com SRAG.</t>
  </si>
  <si>
    <t>https://www.cdc.gov/fluview/</t>
  </si>
  <si>
    <t>https://www.google.com/s2/favicons?domain=cdc.gov&amp;sz=64</t>
  </si>
  <si>
    <t>GAL - Gerenciador de Ambiente Laboratorial recebeu score considerando popularidade geral (3/5), uso/aderência institucional em VE (5/5), especificidade para VE (5/5) e adequação para estudos/compartilhamento (3/5).</t>
  </si>
  <si>
    <t>Ministério da Saúde / laboratório</t>
  </si>
  <si>
    <t>GAL - Gerenciador de Ambiente Laboratorial</t>
  </si>
  <si>
    <t>Brasil; dados laboratoriais da rede pública</t>
  </si>
  <si>
    <t>Sistema de informação laboratorial usado em vigilância e diagnóstico.</t>
  </si>
  <si>
    <t>Vigilância laboratorial, confirmação de casos, integração de resultados e qualidade diagnóstica.</t>
  </si>
  <si>
    <t>https://www.gov.br/saude/</t>
  </si>
  <si>
    <t>Anvisa Dados Abertos - catálogo recebeu score considerando popularidade geral (4/5), uso/aderência institucional em VE (4/5), especificidade para VE (4/5) e adequação para estudos/compartilhamento (5/5).</t>
  </si>
  <si>
    <t>Anvisa / dados abertos</t>
  </si>
  <si>
    <t>Anvisa Dados Abertos - catálogo</t>
  </si>
  <si>
    <t>Brasil; catálogo de bases e informações analíticas da Anvisa</t>
  </si>
  <si>
    <t>Página central de dados abertos e recursos analíticos da agência reguladora.</t>
  </si>
  <si>
    <t>Descoberta de dados regulatórios, vigilância sanitária, fiscalização e estudos de segurança.</t>
  </si>
  <si>
    <t>https://www.gov.br/anvisa/pt-br/acessoainformacao/dadosabertos</t>
  </si>
  <si>
    <t>GHDx - Global Health Data Exchange recebeu score considerando popularidade geral (4/5), uso/aderência institucional em VE (4/5), especificidade para VE (4/5) e adequação para estudos/compartilhamento (5/5).</t>
  </si>
  <si>
    <t>IHME / repositório de saúde global</t>
  </si>
  <si>
    <t>GHDx - Global Health Data Exchange</t>
  </si>
  <si>
    <t>Global; catálogo de pesquisas, sistemas e datasets de saúde</t>
  </si>
  <si>
    <t>Repositório e catálogo de fontes de dados em saúde global.</t>
  </si>
  <si>
    <t>Busca de fontes, metadados, pesquisas populacionais e sistemas de vigilância.</t>
  </si>
  <si>
    <t>https://ghdx.healthdata.org/</t>
  </si>
  <si>
    <t>https://www.google.com/s2/favicons?domain=ghdx.healthdata.org&amp;sz=64</t>
  </si>
  <si>
    <t>SIA/SUS - Sistema de Informações Ambulatoriais recebeu score considerando popularidade geral (4/5), uso/aderência institucional em VE (4/5), especificidade para VE (4/5) e adequação para estudos/compartilhamento (5/5).</t>
  </si>
  <si>
    <t>Ministério da Saúde / produção ambulatorial</t>
  </si>
  <si>
    <t>SIA/SUS - Sistema de Informações Ambulatoriais</t>
  </si>
  <si>
    <t>Brasil; produção ambulatorial do SUS</t>
  </si>
  <si>
    <t>Produção ambulatorial, procedimentos e atendimento especializado.</t>
  </si>
  <si>
    <t>Acesso, rastreamento, continuidade de cuidado e produção por território.</t>
  </si>
  <si>
    <t>https://datasus.saude.gov.br/acesso-a-informacao/producao-ambulatorial-sia-sus/</t>
  </si>
  <si>
    <t>UNAIDS AIDSinfo recebeu score considerando popularidade geral (4/5), uso/aderência institucional em VE (4/5), especificidade para VE (4/5) e adequação para estudos/compartilhamento (5/5).</t>
  </si>
  <si>
    <t>HIV/AIDS</t>
  </si>
  <si>
    <t>UNAIDS AIDSinfo</t>
  </si>
  <si>
    <t>Global; HIV/AIDS</t>
  </si>
  <si>
    <t>Dados e indicadores globais de HIV/AIDS.</t>
  </si>
  <si>
    <t>Monitoramento de HIV, metas globais, cobertura e desigualdades.</t>
  </si>
  <si>
    <t>https://aidsinfo.unaids.org/</t>
  </si>
  <si>
    <t>https://www.google.com/s2/favicons?domain=aidsinfo.unaids.org&amp;sz=64</t>
  </si>
  <si>
    <t>WHO GIS Centre for Health recebeu score considerando popularidade geral (4/5), uso/aderência institucional em VE (4/5), especificidade para VE (4/5) e adequação para estudos/compartilhamento (5/5).</t>
  </si>
  <si>
    <t>OMS / geodados</t>
  </si>
  <si>
    <t>WHO GIS Centre for Health</t>
  </si>
  <si>
    <t>Global; dados e mapas geoespaciais de saúde</t>
  </si>
  <si>
    <t>Hub e recursos geoespaciais da OMS para análise e visualização territorial.</t>
  </si>
  <si>
    <t>Mapas, saúde global, risco territorial, emergências e infraestrutura.</t>
  </si>
  <si>
    <t>https://www.who.int/data/gis</t>
  </si>
  <si>
    <t>IBGE Censo Demográfico 2022 recebeu score considerando popularidade geral (5/5), uso/aderência institucional em VE (4/5), especificidade para VE (2/5) e adequação para estudos/compartilhamento (5/5).</t>
  </si>
  <si>
    <t>IBGE / censos</t>
  </si>
  <si>
    <t>IBGE Censo Demográfico 2022</t>
  </si>
  <si>
    <t>Brasil; população, domicílios, território e características sociodemográficas</t>
  </si>
  <si>
    <t>Resultados do Censo Demográfico 2022.</t>
  </si>
  <si>
    <t>Denominadores, vulnerabilidade, indicadores territoriais e planejamento em saúde.</t>
  </si>
  <si>
    <t>https://www.ibge.gov.br/estatisticas/sociais/populacao/22827-censo-demografico-2022.html</t>
  </si>
  <si>
    <t>IBGE Malhas Territoriais recebeu score considerando popularidade geral (5/5), uso/aderência institucional em VE (4/5), especificidade para VE (2/5) e adequação para estudos/compartilhamento (5/5).</t>
  </si>
  <si>
    <t>IBGE / geografia</t>
  </si>
  <si>
    <t>IBGE Malhas Territoriais</t>
  </si>
  <si>
    <t>Brasil; geometrias oficiais de municípios, UFs e setores</t>
  </si>
  <si>
    <t>Malhas digitais oficiais para análise geográfica.</t>
  </si>
  <si>
    <t>Mapas epidemiológicos, joins espaciais, agregação territorial e visualização.</t>
  </si>
  <si>
    <t>https://www.ibge.gov.br/geociencias/organizacao-do-territorio/malhas-territoriais.html</t>
  </si>
  <si>
    <t>IBGE SIDRA recebeu score considerando popularidade geral (5/5), uso/aderência institucional em VE (4/5), especificidade para VE (2/5) e adequação para estudos/compartilhamento (5/5).</t>
  </si>
  <si>
    <t>IBGE / indicadores sociodemográficos</t>
  </si>
  <si>
    <t>IBGE SIDRA</t>
  </si>
  <si>
    <t>Brasil; agregados estatísticos oficiais por território</t>
  </si>
  <si>
    <t>Sistema IBGE para recuperação de dados agregados de pesquisas e censos.</t>
  </si>
  <si>
    <t>Denominadores, determinantes sociais, contexto demográfico e modelos ecológicos.</t>
  </si>
  <si>
    <t>https://sidra.ibge.gov.br/</t>
  </si>
  <si>
    <t>https://www.google.com/s2/favicons?domain=sidra.ibge.gov.br&amp;sz=64</t>
  </si>
  <si>
    <t>UN World Population Prospects recebeu score considerando popularidade geral (5/5), uso/aderência institucional em VE (4/5), especificidade para VE (2/5) e adequação para estudos/compartilhamento (5/5).</t>
  </si>
  <si>
    <t>ONU / demografia</t>
  </si>
  <si>
    <t>UN World Population Prospects</t>
  </si>
  <si>
    <t>Global; estimativas e projeções populacionais</t>
  </si>
  <si>
    <t>Estimativas e projeções de população por idade, sexo, país e ano.</t>
  </si>
  <si>
    <t>Denominadores, padronização etária, projeções e taxas.</t>
  </si>
  <si>
    <t>https://population.un.org/wpp/</t>
  </si>
  <si>
    <t>https://www.google.com/s2/favicons?domain=population.un.org&amp;sz=64</t>
  </si>
  <si>
    <t>CDC WONDER recebeu score considerando popularidade geral (4/5), uso/aderência institucional em VE (4/5), especificidade para VE (4/5) e adequação para estudos/compartilhamento (4/5).</t>
  </si>
  <si>
    <t>CDC / saúde pública dos EUA</t>
  </si>
  <si>
    <t>Estados Unidos; mortalidade, natalidade, câncer, doenças e população</t>
  </si>
  <si>
    <t>Sistema de consulta de bases públicas dos EUA.</t>
  </si>
  <si>
    <t>Mortalidade, causas, estatísticas vitais e comparação metodológica.</t>
  </si>
  <si>
    <t>https://wonder.cdc.gov/</t>
  </si>
  <si>
    <t>https://www.google.com/s2/favicons?domain=wonder.cdc.gov&amp;sz=64</t>
  </si>
  <si>
    <t>ENA - European Nucleotide Archive recebeu score considerando popularidade geral (4/5), uso/aderência institucional em VE (4/5), especificidade para VE (4/5) e adequação para estudos/compartilhamento (4/5).</t>
  </si>
  <si>
    <t>ENA - European Nucleotide Archive</t>
  </si>
  <si>
    <t>Global/Europa; sequências e dados ômicos</t>
  </si>
  <si>
    <t>Arquivo europeu de dados de sequenciamento e sequências biológicas.</t>
  </si>
  <si>
    <t>Vigilância genômica, reanálise e integração com metadados.</t>
  </si>
  <si>
    <t>https://www.ebi.ac.uk/ena/browser/home</t>
  </si>
  <si>
    <t>https://www.google.com/s2/favicons?domain=ebi.ac.uk&amp;sz=64</t>
  </si>
  <si>
    <t>PAHO Health in the Americas+ recebeu score considerando popularidade geral (4/5), uso/aderência institucional em VE (4/5), especificidade para VE (4/5) e adequação para estudos/compartilhamento (4/5).</t>
  </si>
  <si>
    <t>OPAS / perfis e indicadores</t>
  </si>
  <si>
    <t>PAHO Health in the Americas+</t>
  </si>
  <si>
    <t>Américas; perfis de saúde e indicadores por país</t>
  </si>
  <si>
    <t>Plataforma de análise sobre situação de saúde nas Américas.</t>
  </si>
  <si>
    <t>Contexto regional, indicadores de país e relatórios analíticos.</t>
  </si>
  <si>
    <t>https://hia.paho.org/en</t>
  </si>
  <si>
    <t>https://www.google.com/s2/favicons?domain=hia.paho.org&amp;sz=64</t>
  </si>
  <si>
    <t>SISAB - Sistema de Informação em Saúde para a Atenção Básica recebeu score considerando popularidade geral (4/5), uso/aderência institucional em VE (4/5), especificidade para VE (4/5) e adequação para estudos/compartilhamento (4/5).</t>
  </si>
  <si>
    <t>Ministério da Saúde / atenção primária</t>
  </si>
  <si>
    <t>SISAB - Sistema de Informação em Saúde para a Atenção Básica</t>
  </si>
  <si>
    <t>Brasil; atenção primária e e-SUS APS</t>
  </si>
  <si>
    <t>Indicadores e informações da atenção básica/primária.</t>
  </si>
  <si>
    <t>Cobertura, indicadores da APS, acompanhamento territorial e integração com vigilância.</t>
  </si>
  <si>
    <t>https://sisab.saude.gov.br/</t>
  </si>
  <si>
    <t>https://www.google.com/s2/favicons?domain=sisab.saude.gov.br&amp;sz=64</t>
  </si>
  <si>
    <t>VIGITEL recebeu score considerando popularidade geral (4/5), uso/aderência institucional em VE (4/5), especificidade para VE (4/5) e adequação para estudos/compartilhamento (4/5).</t>
  </si>
  <si>
    <t>Ministério da Saúde / inquéritos</t>
  </si>
  <si>
    <t>VIGITEL</t>
  </si>
  <si>
    <t>Brasil; inquérito telefônico de fatores de risco e proteção</t>
  </si>
  <si>
    <t>Dados e publicações de inquérito sobre fatores de risco/proteção para doenças crônicas.</t>
  </si>
  <si>
    <t>Fatores de risco, tabagismo, alimentação, atividade física, obesidade e DCNT.</t>
  </si>
  <si>
    <t>https://www.gov.br/saude/pt-br/centrais-de-conteudo/publicacoes/svsa/vigitel</t>
  </si>
  <si>
    <t>WHO Health Inequality Monitor recebeu score considerando popularidade geral (4/5), uso/aderência institucional em VE (4/5), especificidade para VE (4/5) e adequação para estudos/compartilhamento (4/5).</t>
  </si>
  <si>
    <t>OMS / desigualdade</t>
  </si>
  <si>
    <t>WHO Health Inequality Monitor</t>
  </si>
  <si>
    <t>Global; indicadores estratificados de desigualdade</t>
  </si>
  <si>
    <t>Dados para monitorar desigualdades em saúde por grupos e países.</t>
  </si>
  <si>
    <t>Equidade, estratificação, grupos vulnerabilizados e ODS.</t>
  </si>
  <si>
    <t>https://www.who.int/data/inequality-monitor</t>
  </si>
  <si>
    <t>ArboIli Data Paper recebeu score considerando popularidade geral (3/5), uso/aderência institucional em VE (4/5), especificidade para VE (5/5) e adequação para estudos/compartilhamento (5/5).</t>
  </si>
  <si>
    <t>Artigo científico / vigilância digital</t>
  </si>
  <si>
    <t>ArboIli Data Paper</t>
  </si>
  <si>
    <t>Brasil; dengue, chikungunya, SARI e Google Trends</t>
  </si>
  <si>
    <t>Dataset harmonizado para vigilância digital e séries de agravos.</t>
  </si>
  <si>
    <t>Nowcasting, alerta precoce, vigilância digital e modelagem.</t>
  </si>
  <si>
    <t>https://github.com/arboiliproject/Arboili_datapaper</t>
  </si>
  <si>
    <t>Cenários Epidemiológicos Fiocruz/FGV recebeu score considerando popularidade geral (3/5), uso/aderência institucional em VE (4/5), especificidade para VE (5/5) e adequação para estudos/compartilhamento (5/5).</t>
  </si>
  <si>
    <t>Fiocruz / modelagem</t>
  </si>
  <si>
    <t>Cenários Epidemiológicos Fiocruz/FGV</t>
  </si>
  <si>
    <t>Brasil; cenários e modelos epidemiológicos de COVID-19</t>
  </si>
  <si>
    <t>Plataforma com gráficos, mapas e modelo SIR para previsão de casos.</t>
  </si>
  <si>
    <t>Ensino, cenários, comunicação de incerteza e resposta pandêmica.</t>
  </si>
  <si>
    <t>https://fiocruz.br/cenarios-epidemiologicos</t>
  </si>
  <si>
    <t>https://www.google.com/s2/favicons?domain=fiocruz.br&amp;sz=64</t>
  </si>
  <si>
    <t>DHS Program Datasets recebeu score considerando popularidade geral (4/5), uso/aderência institucional em VE (4/5), especificidade para VE (3/5) e adequação para estudos/compartilhamento (5/5).</t>
  </si>
  <si>
    <t>USAID / inquéritos</t>
  </si>
  <si>
    <t>DHS Program Datasets</t>
  </si>
  <si>
    <t>Países de baixa/média renda; inquéritos demográficos e de saúde</t>
  </si>
  <si>
    <t>Microdados de inquéritos padronizados de saúde e demografia.</t>
  </si>
  <si>
    <t>Cobertura vacinal, nutrição, saúde materno-infantil, determinantes e equidade.</t>
  </si>
  <si>
    <t>https://dhsprogram.com/data/</t>
  </si>
  <si>
    <t>https://www.google.com/s2/favicons?domain=dhsprogram.com&amp;sz=64</t>
  </si>
  <si>
    <t>Humanitarian Data Exchange (HDX/OCHA) recebeu score considerando popularidade geral (4/5), uso/aderência institucional em VE (4/5), especificidade para VE (3/5) e adequação para estudos/compartilhamento (5/5).</t>
  </si>
  <si>
    <t>ONU / dados humanitários</t>
  </si>
  <si>
    <t>Humanitarian Data Exchange (HDX/OCHA)</t>
  </si>
  <si>
    <t>Global; dados humanitários, crises e geografia</t>
  </si>
  <si>
    <t>Portal de dados humanitários com datasets de crises e resposta.</t>
  </si>
  <si>
    <t>Emergências sanitárias, deslocamento, população afetada e mapas.</t>
  </si>
  <si>
    <t>https://data.humdata.org/</t>
  </si>
  <si>
    <t>https://www.google.com/s2/favicons?domain=data.humdata.org&amp;sz=64</t>
  </si>
  <si>
    <t>MICS - Multiple Indicator Cluster Surveys recebeu score considerando popularidade geral (4/5), uso/aderência institucional em VE (4/5), especificidade para VE (3/5) e adequação para estudos/compartilhamento (5/5).</t>
  </si>
  <si>
    <t>UNICEF / inquéritos</t>
  </si>
  <si>
    <t>MICS - Multiple Indicator Cluster Surveys</t>
  </si>
  <si>
    <t>Global; inquéritos domiciliares de crianças e mulheres</t>
  </si>
  <si>
    <t>Microdados e indicadores de pesquisas domiciliares padronizadas.</t>
  </si>
  <si>
    <t>Saúde infantil, vacinação, nutrição, educação, WASH e equidade.</t>
  </si>
  <si>
    <t>https://mics.unicef.org/surveys</t>
  </si>
  <si>
    <t>https://www.google.com/s2/favicons?domain=mics.unicef.org&amp;sz=64</t>
  </si>
  <si>
    <t>RNDS - Rede Nacional de Dados em Saúde recebeu score considerando popularidade geral (4/5), uso/aderência institucional em VE (4/5), especificidade para VE (4/5) e adequação para estudos/compartilhamento (3/5).</t>
  </si>
  <si>
    <t>Ministério da Saúde / interoperabilidade</t>
  </si>
  <si>
    <t>RNDS - Rede Nacional de Dados em Saúde</t>
  </si>
  <si>
    <t>Brasil; interoperabilidade e compartilhamento de informação em saúde</t>
  </si>
  <si>
    <t>Infraestrutura nacional de interoperabilidade de dados de saúde.</t>
  </si>
  <si>
    <t>Arquitetura de dados, integração, interoperabilidade, FHIR e governança.</t>
  </si>
  <si>
    <t>https://www.gov.br/saude/pt-br/composicao/seidigi/rnds</t>
  </si>
  <si>
    <t>UNICEF Data Warehouse recebeu score considerando popularidade geral (4/5), uso/aderência institucional em VE (4/5), especificidade para VE (3/5) e adequação para estudos/compartilhamento (5/5).</t>
  </si>
  <si>
    <t>UNICEF / infância</t>
  </si>
  <si>
    <t>UNICEF Data Warehouse</t>
  </si>
  <si>
    <t>Global; infância, vacinação, nutrição, WASH e mortalidade</t>
  </si>
  <si>
    <t>Indicadores globais sobre crianças, adolescentes e mulheres.</t>
  </si>
  <si>
    <t>Saúde materno-infantil, vacinação, desigualdade e ODS.</t>
  </si>
  <si>
    <t>https://data.unicef.org/resources/resource-type/datasets/</t>
  </si>
  <si>
    <t>https://www.google.com/s2/favicons?domain=data.unicef.org&amp;sz=64</t>
  </si>
  <si>
    <t>WHO/UNICEF Joint Monitoring Programme (JMP) recebeu score considerando popularidade geral (4/5), uso/aderência institucional em VE (4/5), especificidade para VE (3/5) e adequação para estudos/compartilhamento (5/5).</t>
  </si>
  <si>
    <t>WASH / água e saneamento</t>
  </si>
  <si>
    <t>WHO/UNICEF Joint Monitoring Programme (JMP)</t>
  </si>
  <si>
    <t>Global; água, saneamento e higiene</t>
  </si>
  <si>
    <t>Indicadores de WASH por país e população.</t>
  </si>
  <si>
    <t>Doenças de veiculação hídrica, determinantes sociais e ODS.</t>
  </si>
  <si>
    <t>https://washdata.org/</t>
  </si>
  <si>
    <t>https://www.google.com/s2/favicons?domain=washdata.org&amp;sz=64</t>
  </si>
  <si>
    <t>WorldPop Open Population Data recebeu score considerando popularidade geral (4/5), uso/aderência institucional em VE (4/5), especificidade para VE (3/5) e adequação para estudos/compartilhamento (5/5).</t>
  </si>
  <si>
    <t>População geoespacial</t>
  </si>
  <si>
    <t>WorldPop Open Population Data</t>
  </si>
  <si>
    <t>Global; população raster e dados demográficos espaciais</t>
  </si>
  <si>
    <t>Dados geoespaciais de população e demografia em alta resolução.</t>
  </si>
  <si>
    <t>Denominadores espaciais, população sob risco, acesso e vulnerabilidade.</t>
  </si>
  <si>
    <t>https://www.worldpop.org/</t>
  </si>
  <si>
    <t>https://www.google.com/s2/favicons?domain=worldpop.org&amp;sz=64</t>
  </si>
  <si>
    <t>PhysioNet recebeu score considerando popularidade geral (5/5), uso/aderência institucional em VE (3/5), especificidade para VE (3/5) e adequação para estudos/compartilhamento (5/5).</t>
  </si>
  <si>
    <t>Universidade / dados biomédicos</t>
  </si>
  <si>
    <t>PhysioNet</t>
  </si>
  <si>
    <t>Global; bases biomédicas, sinais, dados clínicos e desafios</t>
  </si>
  <si>
    <t>Repositório de dados biomédicos e softwares associados.</t>
  </si>
  <si>
    <t>Sinais, modelos clínicos, reprodutibilidade e benchmarking.</t>
  </si>
  <si>
    <t>https://physionet.org/</t>
  </si>
  <si>
    <t>https://www.google.com/s2/favicons?domain=physionet.org&amp;sz=64</t>
  </si>
  <si>
    <t>Global Polio Eradication Initiative data recebeu score considerando popularidade geral (3/5), uso/aderência institucional em VE (4/5), especificidade para VE (5/5) e adequação para estudos/compartilhamento (4/5).</t>
  </si>
  <si>
    <t>Poliomielite / vigilância</t>
  </si>
  <si>
    <t>Global Polio Eradication Initiative data</t>
  </si>
  <si>
    <t>Global; poliomielite e vigilância</t>
  </si>
  <si>
    <t>Dados e monitoramento da erradicação da poliomielite.</t>
  </si>
  <si>
    <t>Vigilância de pólio, vacinação e resposta a eventos.</t>
  </si>
  <si>
    <t>https://polioeradication.org/polio-today/polio-now/data-and-monitoring/</t>
  </si>
  <si>
    <t>https://www.google.com/s2/favicons?domain=polioeradication.org&amp;sz=64</t>
  </si>
  <si>
    <t>Notivisa - queixas técnicas e eventos adversos recebeu score considerando popularidade geral (3/5), uso/aderência institucional em VE (4/5), especificidade para VE (5/5) e adequação para estudos/compartilhamento (4/5).</t>
  </si>
  <si>
    <t>Anvisa / vigilância sanitária</t>
  </si>
  <si>
    <t>Notivisa - queixas técnicas e eventos adversos</t>
  </si>
  <si>
    <t>Brasil; notificações de produtos e serviços sujeitos à vigilância sanitária</t>
  </si>
  <si>
    <t>Sistema de notificações de eventos adversos e queixas técnicas.</t>
  </si>
  <si>
    <t>Tecnovigilância, farmacovigilância, hemovigilância e priorização de investigação.</t>
  </si>
  <si>
    <t>https://www.gov.br/anvisa/pt-br/assuntos/fiscalizacao-e-monitoramento/notificacoes</t>
  </si>
  <si>
    <t>Painel de Ação de Campo e Alerta Sanitário - Tecnovigilância recebeu score considerando popularidade geral (3/5), uso/aderência institucional em VE (4/5), especificidade para VE (5/5) e adequação para estudos/compartilhamento (4/5).</t>
  </si>
  <si>
    <t>Anvisa / tecnovigilância</t>
  </si>
  <si>
    <t>Painel de Ação de Campo e Alerta Sanitário - Tecnovigilância</t>
  </si>
  <si>
    <t>Brasil; ações de campo e alertas sanitários de produtos para saúde</t>
  </si>
  <si>
    <t>Informações analíticas de tecnovigilância e ações de campo.</t>
  </si>
  <si>
    <t>Monitoramento de produtos, alertas, segurança de dispositivos e priorização.</t>
  </si>
  <si>
    <t>https://www.gov.br/anvisa/pt-br/acessoainformacao/dadosabertos/informacoes-analiticas/inicial</t>
  </si>
  <si>
    <t>dados sintéticos</t>
  </si>
  <si>
    <t>R package outbreaks recebeu score considerando popularidade geral (3/5), uso/aderência institucional em VE (4/5), especificidade para VE (5/5) e adequação para estudos/compartilhamento (4/5).</t>
  </si>
  <si>
    <t>Dados sintéticos / surtos</t>
  </si>
  <si>
    <t>R package outbreaks</t>
  </si>
  <si>
    <t>Surtos empíricos e simulados no R</t>
  </si>
  <si>
    <t>Coleção de dados de surtos para ensino e modelagem.</t>
  </si>
  <si>
    <t>Curvas epidêmicas, treinamento, análise de surtos e validação de métodos.</t>
  </si>
  <si>
    <t>https://cran.r-project.org/package=outbreaks</t>
  </si>
  <si>
    <t>https://www.google.com/s2/favicons?domain=cran.r-project.org&amp;sz=64</t>
  </si>
  <si>
    <t>VigiMed - eventos adversos a medicamentos recebeu score considerando popularidade geral (3/5), uso/aderência institucional em VE (4/5), especificidade para VE (5/5) e adequação para estudos/compartilhamento (4/5).</t>
  </si>
  <si>
    <t>Anvisa / farmacovigilância</t>
  </si>
  <si>
    <t>VigiMed - eventos adversos a medicamentos</t>
  </si>
  <si>
    <t>Brasil; notificações de eventos adversos a medicamentos</t>
  </si>
  <si>
    <t>Dados e painéis de farmacovigilância de suspeitas de eventos adversos.</t>
  </si>
  <si>
    <t>Detecção de sinais, perfis de notificação, segurança de medicamentos e comunicação de risco.</t>
  </si>
  <si>
    <t>https://www.gov.br/anvisa/pt-br/assuntos/fiscalizacao-e-monitoramento/farmacovigilancia</t>
  </si>
  <si>
    <t>e-Gestor AB / APS recebeu score considerando popularidade geral (4/5), uso/aderência institucional em VE (4/5), especificidade para VE (3/5) e adequação para estudos/compartilhamento (4/5).</t>
  </si>
  <si>
    <t>e-Gestor AB / APS</t>
  </si>
  <si>
    <t>Brasil; gestão e indicadores da atenção básica</t>
  </si>
  <si>
    <t>Ambiente de dados e indicadores de atenção básica para gestão federal, estadual e municipal.</t>
  </si>
  <si>
    <t>Indicadores de cobertura, equipes, desempenho e gestão territorial.</t>
  </si>
  <si>
    <t>https://egestorab.saude.gov.br/</t>
  </si>
  <si>
    <t>https://www.google.com/s2/favicons?domain=egestorab.saude.gov.br&amp;sz=64</t>
  </si>
  <si>
    <t>Oxford COVID-19 Government Response Tracker (OxCGRT) recebeu score considerando popularidade geral (4/5), uso/aderência institucional em VE (4/5), especificidade para VE (3/5) e adequação para estudos/compartilhamento (4/5).</t>
  </si>
  <si>
    <t>Universidade / políticas públicas</t>
  </si>
  <si>
    <t>Oxford COVID-19 Government Response Tracker (OxCGRT)</t>
  </si>
  <si>
    <t>Global; políticas governamentais durante COVID-19</t>
  </si>
  <si>
    <t>Dataset de políticas públicas de resposta à COVID-19.</t>
  </si>
  <si>
    <t>Avaliação de intervenção, políticas de controle e preparação pandêmica.</t>
  </si>
  <si>
    <t>https://github.com/OxCGRT/covid-policy-dataset</t>
  </si>
  <si>
    <t>MIMIC-IV recebeu score considerando popularidade geral (5/5), uso/aderência institucional em VE (3/5), especificidade para VE (3/5) e adequação para estudos/compartilhamento (4/5).</t>
  </si>
  <si>
    <t>Universidade / dados clínicos</t>
  </si>
  <si>
    <t>MIMIC-IV</t>
  </si>
  <si>
    <t>EUA; dados clínicos desidentificados de UTI</t>
  </si>
  <si>
    <t>Base hospitalar desidentificada de cuidados intensivos.</t>
  </si>
  <si>
    <t>Modelos clínicos, prognóstico, fenotipagem e métodos de dados sensíveis.</t>
  </si>
  <si>
    <t>https://physionet.org/content/mimiciv/</t>
  </si>
  <si>
    <t>PCDaS Fiocruz recebeu score considerando popularidade geral (3/5), uso/aderência institucional em VE (4/5), especificidade para VE (4/5) e adequação para estudos/compartilhamento (5/5).</t>
  </si>
  <si>
    <t>Fiocruz / plataforma de ciência de dados</t>
  </si>
  <si>
    <t>PCDaS Fiocruz</t>
  </si>
  <si>
    <t>Brasil; plataforma de ciência de dados aplicada à saúde</t>
  </si>
  <si>
    <t>Ambiente com bases de saúde, metadados, ETL, notebooks e dados tratados/enriquecidos.</t>
  </si>
  <si>
    <t>Mineração de dados, modelos preditivos, notebooks, pipelines e pesquisa em saúde pública.</t>
  </si>
  <si>
    <t>https://pcdas.icict.fiocruz.br/</t>
  </si>
  <si>
    <t>https://www.google.com/s2/favicons?domain=pcdas.icict.fiocruz.br&amp;sz=64</t>
  </si>
  <si>
    <t>SNGPC - medicamentos controlados por estado recebeu score considerando popularidade geral (3/5), uso/aderência institucional em VE (4/5), especificidade para VE (4/5) e adequação para estudos/compartilhamento (5/5).</t>
  </si>
  <si>
    <t>Anvisa / medicamentos controlados</t>
  </si>
  <si>
    <t>SNGPC - medicamentos controlados por estado</t>
  </si>
  <si>
    <t>Brasil; venda/consumo de medicamentos sujeitos à escrituração</t>
  </si>
  <si>
    <t>Dados de medicamentos sujeitos à escrituração por mês e UF.</t>
  </si>
  <si>
    <t>Farmacoepidemiologia, antimicrobianos/controlados e detecção de anomalias.</t>
  </si>
  <si>
    <t>https://www.gov.br/anvisa/pt-br/assuntos/fiscalizacao-e-monitoramento/sngpc/consumo-de-medicamentos-por-estado</t>
  </si>
  <si>
    <t>MonitoraCovid-19 Fiocruz recebeu score considerando popularidade geral (3/5), uso/aderência institucional em VE (4/5), especificidade para VE (4/5) e adequação para estudos/compartilhamento (4/5).</t>
  </si>
  <si>
    <t>Fiocruz / COVID-19</t>
  </si>
  <si>
    <t>MonitoraCovid-19 Fiocruz</t>
  </si>
  <si>
    <t>Brasil; integração e monitoramento de dados da pandemia</t>
  </si>
  <si>
    <t>Plataforma de monitoramento e integração de dados de COVID-19.</t>
  </si>
  <si>
    <t>Painéis, estudos espaciais, monitoramento pandêmico e comunicação pública.</t>
  </si>
  <si>
    <t>https://bigdata-covid19.icict.fiocruz.br/</t>
  </si>
  <si>
    <t>https://www.google.com/s2/favicons?domain=bigdata-covid19.icict.fiocruz.br&amp;sz=64</t>
  </si>
  <si>
    <t>SeroTracker recebeu score considerando popularidade geral (3/5), uso/aderência institucional em VE (4/5), especificidade para VE (4/5) e adequação para estudos/compartilhamento (4/5).</t>
  </si>
  <si>
    <t>Universidade/consórcio / sorovigilância</t>
  </si>
  <si>
    <t>SeroTracker</t>
  </si>
  <si>
    <t>Global; soroprevalência</t>
  </si>
  <si>
    <t>Base e painel de estudos de soroprevalência.</t>
  </si>
  <si>
    <t>Sorovigilância, imunidade populacional e síntese de evidências.</t>
  </si>
  <si>
    <t>https://serotracker.com/</t>
  </si>
  <si>
    <t>https://www.google.com/s2/favicons?domain=serotracker.com&amp;sz=64</t>
  </si>
  <si>
    <t>SISAGUA - qualidade da água para consumo humano recebeu score considerando popularidade geral (3/5), uso/aderência institucional em VE (4/5), especificidade para VE (4/5) e adequação para estudos/compartilhamento (4/5).</t>
  </si>
  <si>
    <t>Ministério da Saúde / vigilância ambiental</t>
  </si>
  <si>
    <t>SISAGUA - qualidade da água para consumo humano</t>
  </si>
  <si>
    <t>Brasil; vigilância da qualidade da água</t>
  </si>
  <si>
    <t>Dados de controle e vigilância da qualidade da água para consumo humano.</t>
  </si>
  <si>
    <t>Risco hídrico, surtos de veiculação hídrica, desigualdade e vigilância ambiental.</t>
  </si>
  <si>
    <t>https://dados.gov.br/dados/conjuntos-dados/sisagua</t>
  </si>
  <si>
    <t>https://www.google.com/s2/favicons?domain=dados.gov.br&amp;sz=64</t>
  </si>
  <si>
    <t>Arca Dados Fiocruz recebeu score considerando popularidade geral (3/5), uso/aderência institucional em VE (4/5), especificidade para VE (3/5) e adequação para estudos/compartilhamento (5/5).</t>
  </si>
  <si>
    <t>Fiocruz / dados de pesquisa</t>
  </si>
  <si>
    <t>Arca Dados Fiocruz</t>
  </si>
  <si>
    <t>Fiocruz; repositório institucional de dados de pesquisa</t>
  </si>
  <si>
    <t>Repositório para arquivar, publicar, preservar e compartilhar dados digitais de pesquisa.</t>
  </si>
  <si>
    <t>Reuso de datasets, materiais suplementares, ciência aberta e estudos epidemiológicos.</t>
  </si>
  <si>
    <t>https://dadosdepesquisa.fiocruz.br/</t>
  </si>
  <si>
    <t>https://www.google.com/s2/favicons?domain=dadosdepesquisa.fiocruz.br&amp;sz=64</t>
  </si>
  <si>
    <t>Observatório Covid-19 Fiocruz - boletins e dados recebeu score considerando popularidade geral (3/5), uso/aderência institucional em VE (4/5), especificidade para VE (4/5) e adequação para estudos/compartilhamento (3/5).</t>
  </si>
  <si>
    <t>Fiocruz / observatório</t>
  </si>
  <si>
    <t>Observatório Covid-19 Fiocruz - boletins e dados</t>
  </si>
  <si>
    <t>Brasil; boletins, análises e produtos do Observatório Covid-19</t>
  </si>
  <si>
    <t>Produtos de análise e comunicação científica sobre a pandemia.</t>
  </si>
  <si>
    <t>Comunicação de risco, revisão de indicadores e análises integradas.</t>
  </si>
  <si>
    <t>https://portal.fiocruz.br/observatorio-covid-19</t>
  </si>
  <si>
    <t>https://www.google.com/s2/favicons?domain=portal.fiocruz.br&amp;sz=64</t>
  </si>
  <si>
    <t>INMET - dados meteorológicos recebeu score considerando popularidade geral (4/5), uso/aderência institucional em VE (4/5), especificidade para VE (1/5) e adequação para estudos/compartilhamento (5/5).</t>
  </si>
  <si>
    <t>Clima / meteorologia</t>
  </si>
  <si>
    <t>INMET - dados meteorológicos</t>
  </si>
  <si>
    <t>Brasil; dados meteorológicos históricos por estação</t>
  </si>
  <si>
    <t>Séries meteorológicas de temperatura, chuva, umidade e outros parâmetros.</t>
  </si>
  <si>
    <t>Clima e saúde, arboviroses, doenças respiratórias e eventos extremos.</t>
  </si>
  <si>
    <t>https://portal.inmet.gov.br/dadoshistoricos</t>
  </si>
  <si>
    <t>World Development Indicators (WDI) recebeu score considerando popularidade geral (5/5), uso/aderência institucional em VE (3/5), especificidade para VE (1/5) e adequação para estudos/compartilhamento (5/5).</t>
  </si>
  <si>
    <t>World Development Indicators (WDI)</t>
  </si>
  <si>
    <t>Global; desenvolvimento, saúde, economia e ambiente</t>
  </si>
  <si>
    <t>Indicadores globais de desenvolvimento e contexto socioeconômico.</t>
  </si>
  <si>
    <t>Determinantes sociais, saneamento, renda, educação e modelos ecológicos.</t>
  </si>
  <si>
    <t>https://databank.worldbank.org/source/world-development-indicators</t>
  </si>
  <si>
    <t>EpiModel simulated epidemic data recebeu score considerando popularidade geral (3/5), uso/aderência institucional em VE (3/5), especificidade para VE (5/5) e adequação para estudos/compartilhamento (4/5).</t>
  </si>
  <si>
    <t>Dados sintéticos / modelagem</t>
  </si>
  <si>
    <t>EpiModel simulated epidemic data</t>
  </si>
  <si>
    <t>Simulações de modelos epidêmicos em redes</t>
  </si>
  <si>
    <t>Saídas simuladas de modelos compartimentais, de rede e baseados em agentes.</t>
  </si>
  <si>
    <t>Cenários de intervenção, ensino e simulação de transmissão.</t>
  </si>
  <si>
    <t>https://epimodel.github.io/EpiModel/</t>
  </si>
  <si>
    <t>https://www.google.com/s2/favicons?domain=epimodel.github.io&amp;sz=64</t>
  </si>
  <si>
    <t>Anvisa - registro de medicamentos recebeu score considerando popularidade geral (4/5), uso/aderência institucional em VE (3/5), especificidade para VE (3/5) e adequação para estudos/compartilhamento (4/5).</t>
  </si>
  <si>
    <t>Anvisa / registro sanitário</t>
  </si>
  <si>
    <t>Anvisa - registro de medicamentos</t>
  </si>
  <si>
    <t>Brasil; consulta de medicamentos registrados</t>
  </si>
  <si>
    <t>Consulta pública de medicamentos, registros, empresas e apresentações.</t>
  </si>
  <si>
    <t>Integração com farmacovigilância, acesso, preços e estudos regulatórios.</t>
  </si>
  <si>
    <t>https://consultas.anvisa.gov.br/#/medicamentos/</t>
  </si>
  <si>
    <t>https://www.google.com/s2/favicons?domain=consultas.anvisa.gov.br&amp;sz=64</t>
  </si>
  <si>
    <t>eICU Collaborative Research Database recebeu score considerando popularidade geral (4/5), uso/aderência institucional em VE (3/5), especificidade para VE (3/5) e adequação para estudos/compartilhamento (4/5).</t>
  </si>
  <si>
    <t>eICU Collaborative Research Database</t>
  </si>
  <si>
    <t>EUA; UTI multicêntrica desidentificada</t>
  </si>
  <si>
    <t>Base de dados de pacientes críticos de múltiplas UTI.</t>
  </si>
  <si>
    <t>Modelagem clínica, validação externa e métodos de aprendizado.</t>
  </si>
  <si>
    <t>https://physionet.org/content/eicu-crd/</t>
  </si>
  <si>
    <t>IBGE PNAD Contínua recebeu score considerando popularidade geral (5/5), uso/aderência institucional em VE (3/5), especificidade para VE (1/5) e adequação para estudos/compartilhamento (4/5).</t>
  </si>
  <si>
    <t>IBGE / inquéritos</t>
  </si>
  <si>
    <t>IBGE PNAD Contínua</t>
  </si>
  <si>
    <t>Brasil; amostra domiciliar contínua</t>
  </si>
  <si>
    <t>Dados de trabalho, renda, educação e características socioeconômicas.</t>
  </si>
  <si>
    <t>Determinantes sociais e contexto econômico em estudos de saúde.</t>
  </si>
  <si>
    <t>https://www.ibge.gov.br/estatisticas/sociais/trabalho/9171-pesquisa-nacional-por-amostra-de-domicilios-continua-mensal.html</t>
  </si>
  <si>
    <t>ANS - Beneficiários de planos privados de saúde recebeu score considerando popularidade geral (4/5), uso/aderência institucional em VE (3/5), especificidade para VE (2/5) e adequação para estudos/compartilhamento (5/5).</t>
  </si>
  <si>
    <t>ANS / beneficiários</t>
  </si>
  <si>
    <t>ANS - Beneficiários de planos privados de saúde</t>
  </si>
  <si>
    <t>Brasil; vínculos de beneficiários por localidade e características</t>
  </si>
  <si>
    <t>Base de beneficiários de planos privados por UF, município, faixa etária e modalidade.</t>
  </si>
  <si>
    <t>Cobertura suplementar, acesso, desigualdade e denominadores complementares.</t>
  </si>
  <si>
    <t>https://www.gov.br/ans/pt-br/acesso-a-informacao/perfil-do-setor/dados-e-indicadores-do-setor</t>
  </si>
  <si>
    <t>ANS Dados e Indicadores do Setor recebeu score considerando popularidade geral (4/5), uso/aderência institucional em VE (3/5), especificidade para VE (2/5) e adequação para estudos/compartilhamento (5/5).</t>
  </si>
  <si>
    <t>ANS / saúde suplementar</t>
  </si>
  <si>
    <t>ANS Dados e Indicadores do Setor</t>
  </si>
  <si>
    <t>Brasil; portal de dados do setor de saúde suplementar</t>
  </si>
  <si>
    <t>Página central de dados e indicadores da Agência Nacional de Saúde Suplementar.</t>
  </si>
  <si>
    <t>Inventário de bases, dashboards de cobertura, operadoras, produtos e assistência.</t>
  </si>
  <si>
    <t>Base dos Dados - br_ms_sim recebeu score considerando popularidade geral (4/5), uso/aderência institucional em VE (3/5), especificidade para VE (2/5) e adequação para estudos/compartilhamento (5/5).</t>
  </si>
  <si>
    <t>Repositório tratado / dados brasileiros</t>
  </si>
  <si>
    <t>Base dos Dados - br_ms_sim</t>
  </si>
  <si>
    <t>Brasil; bases tratadas e acessíveis via BigQuery/SQL</t>
  </si>
  <si>
    <t>Dados tratados, padronizados e acessíveis programaticamente, incluindo bases públicas de saúde.</t>
  </si>
  <si>
    <t>Prototipagem, SQL, integração de datasets e ensino.</t>
  </si>
  <si>
    <t>Base dos Dados - br_ms_sinasc recebeu score considerando popularidade geral (4/5), uso/aderência institucional em VE (3/5), especificidade para VE (2/5) e adequação para estudos/compartilhamento (5/5).</t>
  </si>
  <si>
    <t>Base dos Dados - br_ms_sinasc</t>
  </si>
  <si>
    <t>Brasil; SINASC tratado e documentado</t>
  </si>
  <si>
    <t>Versões tratadas de bases públicas brasileiras no ecossistema Base dos Dados.</t>
  </si>
  <si>
    <t>ETL, replicabilidade, notebooks e integração com outros dados.</t>
  </si>
  <si>
    <t>Harvard Dataverse - Health datasets recebeu score considerando popularidade geral (4/5), uso/aderência institucional em VE (3/5), especificidade para VE (2/5) e adequação para estudos/compartilhamento (5/5).</t>
  </si>
  <si>
    <t>Universidade / repositório de pesquisa</t>
  </si>
  <si>
    <t>Harvard Dataverse - Health datasets</t>
  </si>
  <si>
    <t>Global; datasets de pesquisa com metadados e DOI</t>
  </si>
  <si>
    <t>Repositório acadêmico para dados de pesquisa.</t>
  </si>
  <si>
    <t>Reuso, replicação, datasets suplementares e ciência aberta.</t>
  </si>
  <si>
    <t>https://dataverse.harvard.edu/</t>
  </si>
  <si>
    <t>https://www.google.com/s2/favicons?domain=dataverse.harvard.edu&amp;sz=64</t>
  </si>
  <si>
    <t>Zenodo - health and epidemiology datasets recebeu score considerando popularidade geral (4/5), uso/aderência institucional em VE (3/5), especificidade para VE (2/5) e adequação para estudos/compartilhamento (5/5).</t>
  </si>
  <si>
    <t>Repositório de pesquisa</t>
  </si>
  <si>
    <t>Zenodo - health and epidemiology datasets</t>
  </si>
  <si>
    <t>Global; dados, software, relatórios e DOI</t>
  </si>
  <si>
    <t>Repositório generalista para resultados de pesquisa citáveis.</t>
  </si>
  <si>
    <t>Arquivamento, DOI, replicabilidade e dados derivados.</t>
  </si>
  <si>
    <t>https://zenodo.org/</t>
  </si>
  <si>
    <t>https://www.google.com/s2/favicons?domain=zenodo.org&amp;sz=64</t>
  </si>
  <si>
    <t>Covasim sample/simulated epidemic outputs recebeu score considerando popularidade geral (3/5), uso/aderência institucional em VE (3/5), especificidade para VE (4/5) e adequação para estudos/compartilhamento (4/5).</t>
  </si>
  <si>
    <t>Dados sintéticos / COVID-19</t>
  </si>
  <si>
    <t>Covasim sample/simulated epidemic outputs</t>
  </si>
  <si>
    <t>Simulação epidemiológica de COVID-19</t>
  </si>
  <si>
    <t>Modelo para simular transmissão e intervenções de COVID-19.</t>
  </si>
  <si>
    <t>Cenários, intervenção, validação de dashboards e ensino.</t>
  </si>
  <si>
    <t>https://docs.idmod.org/projects/covasim/en/latest/</t>
  </si>
  <si>
    <t>https://www.google.com/s2/favicons?domain=docs.idmod.org&amp;sz=64</t>
  </si>
  <si>
    <t>PARA - resíduos de agrotóxicos em alimentos recebeu score considerando popularidade geral (3/5), uso/aderência institucional em VE (3/5), especificidade para VE (4/5) e adequação para estudos/compartilhamento (4/5).</t>
  </si>
  <si>
    <t>Anvisa / alimentos</t>
  </si>
  <si>
    <t>PARA - resíduos de agrotóxicos em alimentos</t>
  </si>
  <si>
    <t>Brasil; monitoramento de resíduos de agrotóxicos</t>
  </si>
  <si>
    <t>Dados/relatórios do Programa de Análise de Resíduos de Agrotóxicos em Alimentos.</t>
  </si>
  <si>
    <t>Vigilância sanitária de alimentos, exposição e comunicação de risco.</t>
  </si>
  <si>
    <t>https://www.gov.br/anvisa/pt-br/assuntos/agrotoxicos/programa-de-analise-de-residuos-em-alimentos</t>
  </si>
  <si>
    <t>CMED - preços de medicamentos recebeu score considerando popularidade geral (4/5), uso/aderência institucional em VE (3/5), especificidade para VE (2/5) e adequação para estudos/compartilhamento (4/5).</t>
  </si>
  <si>
    <t>Anvisa / regulação econômica</t>
  </si>
  <si>
    <t>CMED - preços de medicamentos</t>
  </si>
  <si>
    <t>Brasil; preços máximos de medicamentos</t>
  </si>
  <si>
    <t>Listas de preços regulados de medicamentos e apresentações.</t>
  </si>
  <si>
    <t>Acesso a medicamentos, custo de tratamento e estudos de políticas farmacêuticas.</t>
  </si>
  <si>
    <t>https://www.gov.br/anvisa/pt-br/assuntos/medicamentos/cmed/precos</t>
  </si>
  <si>
    <t>CMS DE-SynPUF recebeu score considerando popularidade geral (4/5), uso/aderência institucional em VE (3/5), especificidade para VE (2/5) e adequação para estudos/compartilhamento (4/5).</t>
  </si>
  <si>
    <t>Dados sintéticos / claims</t>
  </si>
  <si>
    <t>CMS DE-SynPUF</t>
  </si>
  <si>
    <t>EUA; claims Medicare sintéticos/de-identificados</t>
  </si>
  <si>
    <t>Arquivos públicos sintéticos para treinamento e desenvolvimento.</t>
  </si>
  <si>
    <t>Ensino de claims, testes de ETL e modelos de utilização de serviços.</t>
  </si>
  <si>
    <t>https://www.cms.gov/data-research/statistics-trends-and-reports/medicare-claims-synthetic-public-use-files</t>
  </si>
  <si>
    <t>https://www.google.com/s2/favicons?domain=cms.gov&amp;sz=64</t>
  </si>
  <si>
    <t>CORD-19 - COVID-19 Open Research Dataset recebeu score considerando popularidade geral (4/5), uso/aderência institucional em VE (3/5), especificidade para VE (2/5) e adequação para estudos/compartilhamento (4/5).</t>
  </si>
  <si>
    <t>Corpus acadêmico / literatura</t>
  </si>
  <si>
    <t>CORD-19 - COVID-19 Open Research Dataset</t>
  </si>
  <si>
    <t>Global; literatura científica COVID-19</t>
  </si>
  <si>
    <t>Corpus de artigos científicos para mineração textual e revisão automática.</t>
  </si>
  <si>
    <t>NLP, revisão rápida, vigilância científica e extração de evidências.</t>
  </si>
  <si>
    <t>https://www.semanticscholar.org/cord19</t>
  </si>
  <si>
    <t>https://www.google.com/s2/favicons?domain=semanticscholar.org&amp;sz=64</t>
  </si>
  <si>
    <t>EM-DAT International Disaster Database recebeu score considerando popularidade geral (4/5), uso/aderência institucional em VE (3/5), especificidade para VE (2/5) e adequação para estudos/compartilhamento (4/5).</t>
  </si>
  <si>
    <t>Desastres</t>
  </si>
  <si>
    <t>EM-DAT International Disaster Database</t>
  </si>
  <si>
    <t>Global; desastres e impactos</t>
  </si>
  <si>
    <t>Base internacional de desastres naturais e tecnológicos.</t>
  </si>
  <si>
    <t>Saúde em desastres, mortalidade, exposição e resposta emergencial.</t>
  </si>
  <si>
    <t>https://www.emdat.be/</t>
  </si>
  <si>
    <t>https://www.google.com/s2/favicons?domain=emdat.be&amp;sz=64</t>
  </si>
  <si>
    <t>OECD Health Statistics recebeu score considerando popularidade geral (4/5), uso/aderência institucional em VE (3/5), especificidade para VE (2/5) e adequação para estudos/compartilhamento (4/5).</t>
  </si>
  <si>
    <t>OECD / sistemas de saúde</t>
  </si>
  <si>
    <t>OECD Health Statistics</t>
  </si>
  <si>
    <t>Países OCDE; sistemas de saúde, gastos e resultados</t>
  </si>
  <si>
    <t>Indicadores comparáveis de sistemas de saúde.</t>
  </si>
  <si>
    <t>Capacidade, gastos, qualidade assistencial e comparação internacional.</t>
  </si>
  <si>
    <t>https://www.oecd.org/en/data/datasets/oecd-health-statistics.html</t>
  </si>
  <si>
    <t>https://www.google.com/s2/favicons?domain=oecd.org&amp;sz=64</t>
  </si>
  <si>
    <t>Synthea synthetic patient records recebeu score considerando popularidade geral (4/5), uso/aderência institucional em VE (3/5), especificidade para VE (2/5) e adequação para estudos/compartilhamento (4/5).</t>
  </si>
  <si>
    <t>Dados sintéticos / pacientes</t>
  </si>
  <si>
    <t>Synthea synthetic patient records</t>
  </si>
  <si>
    <t>Pacientes sintéticos; FHIR, CSV e histórias clínicas</t>
  </si>
  <si>
    <t>Gerador de pacientes sintéticos e registros clínicos fictícios.</t>
  </si>
  <si>
    <t>Testes de interoperabilidade, treinamento, protótipos e pipelines sem dados reais.</t>
  </si>
  <si>
    <t>https://synthea.org/</t>
  </si>
  <si>
    <t>https://www.google.com/s2/favicons?domain=synthea.org&amp;sz=64</t>
  </si>
  <si>
    <t>UDI/Dispositivos Médicos - identificação única recebeu score considerando popularidade geral (3/5), uso/aderência institucional em VE (3/5), especificidade para VE (4/5) e adequação para estudos/compartilhamento (3/5).</t>
  </si>
  <si>
    <t>Anvisa / dispositivos médicos</t>
  </si>
  <si>
    <t>UDI/Dispositivos Médicos - identificação única</t>
  </si>
  <si>
    <t>Brasil; identificadores únicos de dispositivos médicos</t>
  </si>
  <si>
    <t>Dados e regras sobre identificação única de dispositivos médicos.</t>
  </si>
  <si>
    <t>Rastreabilidade, tecnovigilância, alertas e interoperabilidade de produtos.</t>
  </si>
  <si>
    <t>https://www.gov.br/anvisa/pt-br/assuntos/produtosparasaude/udi</t>
  </si>
  <si>
    <t>MapBiomas recebeu score considerando popularidade geral (4/5), uso/aderência institucional em VE (3/5), especificidade para VE (1/5) e adequação para estudos/compartilhamento (5/5).</t>
  </si>
  <si>
    <t>Ambiental / uso do solo</t>
  </si>
  <si>
    <t>Brasil e América do Sul; uso e cobertura da terra</t>
  </si>
  <si>
    <t>Mapas anuais de uso/cobertura da terra e produtos derivados.</t>
  </si>
  <si>
    <t>Saúde ambiental, arboviroses, queimadas, desmatamento e determinantes territoriais.</t>
  </si>
  <si>
    <t>https://mapbiomas.org/</t>
  </si>
  <si>
    <t>https://www.google.com/s2/favicons?domain=mapbiomas.org&amp;sz=64</t>
  </si>
  <si>
    <t>OpenAQ recebeu score considerando popularidade geral (4/5), uso/aderência institucional em VE (3/5), especificidade para VE (1/5) e adequação para estudos/compartilhamento (5/5).</t>
  </si>
  <si>
    <t>Qualidade do ar / dados abertos</t>
  </si>
  <si>
    <t>OpenAQ</t>
  </si>
  <si>
    <t>Global; medições de qualidade do ar</t>
  </si>
  <si>
    <t>Plataforma aberta de dados de qualidade do ar agregando múltiplas fontes.</t>
  </si>
  <si>
    <t>Exposição ambiental, saúde respiratória, séries e mapas.</t>
  </si>
  <si>
    <t>https://openaq.org/</t>
  </si>
  <si>
    <t>https://www.google.com/s2/favicons?domain=openaq.org&amp;sz=64</t>
  </si>
  <si>
    <t>Anvisa - ensaios clínicos autorizados recebeu score considerando popularidade geral (3/5), uso/aderência institucional em VE (3/5), especificidade para VE (3/5) e adequação para estudos/compartilhamento (4/5).</t>
  </si>
  <si>
    <t>Anvisa / pesquisa clínica</t>
  </si>
  <si>
    <t>Anvisa - ensaios clínicos autorizados</t>
  </si>
  <si>
    <t>Brasil; ensaios clínicos regulados</t>
  </si>
  <si>
    <t>Consulta de ensaios clínicos e documentos regulatórios associados.</t>
  </si>
  <si>
    <t>Pesquisa clínica, vigilância de intervenções e mapeamento de inovação.</t>
  </si>
  <si>
    <t>https://consultas.anvisa.gov.br/#/ensaiosclinicos/</t>
  </si>
  <si>
    <t>Anvisa - registro de produtos para saúde recebeu score considerando popularidade geral (3/5), uso/aderência institucional em VE (3/5), especificidade para VE (3/5) e adequação para estudos/compartilhamento (4/5).</t>
  </si>
  <si>
    <t>Anvisa - registro de produtos para saúde</t>
  </si>
  <si>
    <t>Brasil; produtos para saúde registrados</t>
  </si>
  <si>
    <t>Consulta pública de produtos para saúde, registros e empresas.</t>
  </si>
  <si>
    <t>Tecnovigilância, rastreabilidade, alertas e estudos de mercado regulado.</t>
  </si>
  <si>
    <t>https://consultas.anvisa.gov.br/#/saude/</t>
  </si>
  <si>
    <t>OHDSI Eunomia synthetic dataset recebeu score considerando popularidade geral (3/5), uso/aderência institucional em VE (3/5), especificidade para VE (3/5) e adequação para estudos/compartilhamento (4/5).</t>
  </si>
  <si>
    <t>Dados sintéticos / OMOP-CDM</t>
  </si>
  <si>
    <t>OHDSI Eunomia synthetic dataset</t>
  </si>
  <si>
    <t>Dados sintéticos no modelo OMOP CDM</t>
  </si>
  <si>
    <t>Dataset para tutoriais OHDSI e desenvolvimento de pipelines.</t>
  </si>
  <si>
    <t>Treinamento em OMOP, estudo observacional e validação de código.</t>
  </si>
  <si>
    <t>https://ohdsi.github.io/Eunomia/</t>
  </si>
  <si>
    <t>https://www.google.com/s2/favicons?domain=ohdsi.github.io&amp;sz=64</t>
  </si>
  <si>
    <t>Pesquisa Nacional de Demografia e Saúde (PNDS) recebeu score considerando popularidade geral (3/5), uso/aderência institucional em VE (3/5), especificidade para VE (3/5) e adequação para estudos/compartilhamento (4/5).</t>
  </si>
  <si>
    <t>Ministério da Saúde / demografia e saúde</t>
  </si>
  <si>
    <t>Pesquisa Nacional de Demografia e Saúde (PNDS)</t>
  </si>
  <si>
    <t>Brasil; demografia, saúde reprodutiva e infantil</t>
  </si>
  <si>
    <t>Inquérito de saúde e demografia com foco em mulheres, crianças e saúde reprodutiva.</t>
  </si>
  <si>
    <t>Saúde materno-infantil, nutrição, vacinação e determinantes sociais.</t>
  </si>
  <si>
    <t>https://bvsms.saude.gov.br/bvs/pnds/index.php</t>
  </si>
  <si>
    <t>https://www.google.com/s2/favicons?domain=bvsms.saude.gov.br&amp;sz=64</t>
  </si>
  <si>
    <t>ANA HidroWeb recebeu score considerando popularidade geral (4/5), uso/aderência institucional em VE (3/5), especificidade para VE (1/5) e adequação para estudos/compartilhamento (4/5).</t>
  </si>
  <si>
    <t>Água e hidrologia</t>
  </si>
  <si>
    <t>ANA HidroWeb</t>
  </si>
  <si>
    <t>Brasil; dados hidrológicos</t>
  </si>
  <si>
    <t>Dados de estações hidrometeorológicas, vazão, chuva e nível de rios.</t>
  </si>
  <si>
    <t>Doenças de veiculação hídrica, enchentes, leptospirose e vigilância ambiental.</t>
  </si>
  <si>
    <t>https://www.snirh.gov.br/hidroweb/</t>
  </si>
  <si>
    <t>https://www.google.com/s2/favicons?domain=snirh.gov.br&amp;sz=64</t>
  </si>
  <si>
    <t>Copernicus Climate Data Store recebeu score considerando popularidade geral (4/5), uso/aderência institucional em VE (3/5), especificidade para VE (1/5) e adequação para estudos/compartilhamento (4/5).</t>
  </si>
  <si>
    <t>Copernicus / clima</t>
  </si>
  <si>
    <t>Copernicus Climate Data Store</t>
  </si>
  <si>
    <t>Global; reanálise ERA5 e dados climáticos</t>
  </si>
  <si>
    <t>Dados climáticos e reanálises para modelos e mapas.</t>
  </si>
  <si>
    <t>Clima e saúde, eventos extremos e modelos espaço-temporais.</t>
  </si>
  <si>
    <t>https://cds.climate.copernicus.eu/</t>
  </si>
  <si>
    <t>https://www.google.com/s2/favicons?domain=cds.climate.copernicus.eu&amp;sz=64</t>
  </si>
  <si>
    <t>FAOSTAT recebeu score considerando popularidade geral (4/5), uso/aderência institucional em VE (3/5), especificidade para VE (1/5) e adequação para estudos/compartilhamento (4/5).</t>
  </si>
  <si>
    <t>FAO / alimentação e agricultura</t>
  </si>
  <si>
    <t>FAOSTAT</t>
  </si>
  <si>
    <t>Global; agricultura, alimentação, segurança alimentar e preços</t>
  </si>
  <si>
    <t>Dados estatísticos globais de alimentação, agricultura e segurança alimentar.</t>
  </si>
  <si>
    <t>Nutrição, insegurança alimentar, determinantes e saúde planetária.</t>
  </si>
  <si>
    <t>https://www.fao.org/faostat/en/</t>
  </si>
  <si>
    <t>https://www.google.com/s2/favicons?domain=fao.org&amp;sz=64</t>
  </si>
  <si>
    <t>NASA Earthdata recebeu score considerando popularidade geral (4/5), uso/aderência institucional em VE (3/5), especificidade para VE (1/5) e adequação para estudos/compartilhamento (4/5).</t>
  </si>
  <si>
    <t>NASA / ambiente</t>
  </si>
  <si>
    <t>NASA Earthdata</t>
  </si>
  <si>
    <t>Global; dados ambientais e satelitais</t>
  </si>
  <si>
    <t>Dados da NASA sobre clima, ambiente, atmosfera, vegetação e água.</t>
  </si>
  <si>
    <t>Clima e saúde, arboviroses, queimadas, qualidade do ar e eventos extremos.</t>
  </si>
  <si>
    <t>https://earthdata.nasa.gov/</t>
  </si>
  <si>
    <t>https://www.google.com/s2/favicons?domain=earthdata.nasa.gov&amp;sz=64</t>
  </si>
  <si>
    <t>NASA Giovanni recebeu score considerando popularidade geral (4/5), uso/aderência institucional em VE (3/5), especificidade para VE (1/5) e adequação para estudos/compartilhamento (4/5).</t>
  </si>
  <si>
    <t>NASA / visualização ambiental</t>
  </si>
  <si>
    <t>NASA Giovanni</t>
  </si>
  <si>
    <t>Global; análise e visualização de dados ambientais</t>
  </si>
  <si>
    <t>Ferramenta web para visualização e análise de dados da NASA.</t>
  </si>
  <si>
    <t>Exploração rápida de variáveis ambientais relacionadas à saúde.</t>
  </si>
  <si>
    <t>https://giovanni.gsfc.nasa.gov/giovanni/</t>
  </si>
  <si>
    <t>https://www.google.com/s2/favicons?domain=giovanni.gsfc.nasa.gov&amp;sz=64</t>
  </si>
  <si>
    <t>NOAA Climate Data Online recebeu score considerando popularidade geral (4/5), uso/aderência institucional em VE (3/5), especificidade para VE (1/5) e adequação para estudos/compartilhamento (4/5).</t>
  </si>
  <si>
    <t>NOAA / clima</t>
  </si>
  <si>
    <t>NOAA Climate Data Online</t>
  </si>
  <si>
    <t>Global/EUA; dados meteorológicos e climáticos</t>
  </si>
  <si>
    <t>Dados climáticos históricos e observacionais.</t>
  </si>
  <si>
    <t>Sazonalidade, arboviroses, ondas de calor e doenças respiratórias.</t>
  </si>
  <si>
    <t>https://www.ncei.noaa.gov/cdo-web/</t>
  </si>
  <si>
    <t>https://www.google.com/s2/favicons?domain=ncei.noaa.gov&amp;sz=64</t>
  </si>
  <si>
    <t>World Bank Climate Change Knowledge Portal recebeu score considerando popularidade geral (4/5), uso/aderência institucional em VE (3/5), especificidade para VE (1/5) e adequação para estudos/compartilhamento (4/5).</t>
  </si>
  <si>
    <t>World Bank / clima</t>
  </si>
  <si>
    <t>World Bank Climate Change Knowledge Portal</t>
  </si>
  <si>
    <t>Global; clima e projeções climáticas por país</t>
  </si>
  <si>
    <t>Dados climáticos históricos e projetados para análise de risco.</t>
  </si>
  <si>
    <t>Clima e saúde, eventos extremos, arboviroses e adaptação.</t>
  </si>
  <si>
    <t>https://climateknowledgeportal.worldbank.org/</t>
  </si>
  <si>
    <t>https://www.google.com/s2/favicons?domain=climateknowledgeportal.worldbank.org&amp;sz=64</t>
  </si>
  <si>
    <t>World Bank Gender Statistics recebeu score considerando popularidade geral (4/5), uso/aderência institucional em VE (3/5), especificidade para VE (1/5) e adequação para estudos/compartilhamento (4/5).</t>
  </si>
  <si>
    <t>World Bank Gender Statistics</t>
  </si>
  <si>
    <t>Global; gênero, saúde, educação e trabalho</t>
  </si>
  <si>
    <t>Indicadores de gênero para análises de desigualdade.</t>
  </si>
  <si>
    <t>Equidade de gênero, violência, saúde reprodutiva e determinantes sociais.</t>
  </si>
  <si>
    <t>https://databank.worldbank.org/source/gender-statistics</t>
  </si>
  <si>
    <t>Kaggle Datasets - health recebeu score considerando popularidade geral (5/5), uso/aderência institucional em VE (2/5), especificidade para VE (1/5) e adequação para estudos/compartilhamento (4/5).</t>
  </si>
  <si>
    <t>Comunidade / datasets</t>
  </si>
  <si>
    <t>Kaggle Datasets - health</t>
  </si>
  <si>
    <t>Global; datasets de saúde publicados por comunidade</t>
  </si>
  <si>
    <t>Plataforma de datasets e notebooks de ciência de dados.</t>
  </si>
  <si>
    <t>Baixo/Médio</t>
  </si>
  <si>
    <t>Ensino, prototipagem, notebooks, competições e benchmarking.</t>
  </si>
  <si>
    <t>https://www.kaggle.com/datasets?search=health</t>
  </si>
  <si>
    <t>https://www.google.com/s2/favicons?domain=kaggle.com&amp;sz=64</t>
  </si>
  <si>
    <t>Anvisa - alimentos registrados/regularizados recebeu score considerando popularidade geral (3/5), uso/aderência institucional em VE (3/5), especificidade para VE (3/5) e adequação para estudos/compartilhamento (3/5).</t>
  </si>
  <si>
    <t>Anvisa - alimentos registrados/regularizados</t>
  </si>
  <si>
    <t>Brasil; alimentos e produtos regularizados</t>
  </si>
  <si>
    <t>Consulta de alimentos sujeitos à vigilância sanitária.</t>
  </si>
  <si>
    <t>Vigilância de alimentos, regulação e comunicação de risco.</t>
  </si>
  <si>
    <t>https://consultas.anvisa.gov.br/#/alimentos/</t>
  </si>
  <si>
    <t>Anvisa - produtos saneantes regularizados recebeu score considerando popularidade geral (3/5), uso/aderência institucional em VE (3/5), especificidade para VE (3/5) e adequação para estudos/compartilhamento (3/5).</t>
  </si>
  <si>
    <t>Anvisa / saneantes</t>
  </si>
  <si>
    <t>Anvisa - produtos saneantes regularizados</t>
  </si>
  <si>
    <t>Brasil; produtos saneantes regularizados</t>
  </si>
  <si>
    <t>Consulta de produtos saneantes com registro/notificação.</t>
  </si>
  <si>
    <t>Vigilância sanitária, segurança de produtos e avaliação de exposição.</t>
  </si>
  <si>
    <t>https://consultas.anvisa.gov.br/#/saneantes/</t>
  </si>
  <si>
    <t>ANS - Cadastro de Operadoras recebeu score considerando popularidade geral (3/5), uso/aderência institucional em VE (3/5), especificidade para VE (2/5) e adequação para estudos/compartilhamento (4/5).</t>
  </si>
  <si>
    <t>ANS / operadoras</t>
  </si>
  <si>
    <t>ANS - Cadastro de Operadoras</t>
  </si>
  <si>
    <t>Brasil; cadastro regulatório de operadoras</t>
  </si>
  <si>
    <t>Dados cadastrais de operadoras de planos de saúde.</t>
  </si>
  <si>
    <t>Análise regulatória, mercado, geografia da saúde suplementar e integração com reclamações.</t>
  </si>
  <si>
    <t>https://dados.gov.br/dados/conjuntos-dados/operadoras-de-planos-privados-de-saude</t>
  </si>
  <si>
    <t>ANS - D-TISS recebeu score considerando popularidade geral (3/5), uso/aderência institucional em VE (3/5), especificidade para VE (2/5) e adequação para estudos/compartilhamento (4/5).</t>
  </si>
  <si>
    <t>ANS / produção assistencial</t>
  </si>
  <si>
    <t>ANS - D-TISS</t>
  </si>
  <si>
    <t>Brasil; dados do Padrão TISS</t>
  </si>
  <si>
    <t>Painel de dados assistenciais enviados à ANS via Padrão TISS.</t>
  </si>
  <si>
    <t>Produção assistencial, utilização de serviços, exames e comparação com dados SUS.</t>
  </si>
  <si>
    <t>https://www.gov.br/ans/pt-br/acesso-a-informacao/perfil-do-setor/dados-e-indicadores-do-setor/d-tiss-painel-dos-dados-do-tiss</t>
  </si>
  <si>
    <t>ANS - Demandas dos consumidores / NIP recebeu score considerando popularidade geral (3/5), uso/aderência institucional em VE (3/5), especificidade para VE (2/5) e adequação para estudos/compartilhamento (4/5).</t>
  </si>
  <si>
    <t>ANS / demandas de consumidores</t>
  </si>
  <si>
    <t>ANS - Demandas dos consumidores / NIP</t>
  </si>
  <si>
    <t>Brasil; reclamações/demandas contra operadoras</t>
  </si>
  <si>
    <t>Dados de demandas de consumidores e Notificação de Intermediação Preliminar.</t>
  </si>
  <si>
    <t>Acesso, negativa de cobertura, qualidade percebida e regulação.</t>
  </si>
  <si>
    <t>https://dados.gov.br/dados/conjuntos-dados/demandas-dos-consumidores-nip</t>
  </si>
  <si>
    <t>ANS - Produtos/planos de saúde recebeu score considerando popularidade geral (3/5), uso/aderência institucional em VE (3/5), especificidade para VE (2/5) e adequação para estudos/compartilhamento (4/5).</t>
  </si>
  <si>
    <t>ANS / produtos</t>
  </si>
  <si>
    <t>ANS - Produtos/planos de saúde</t>
  </si>
  <si>
    <t>Brasil; planos/produtos registrados na ANS</t>
  </si>
  <si>
    <t>Cadastro de produtos e planos de saúde suplementar.</t>
  </si>
  <si>
    <t>Segmentação de cobertura, acesso, rede e regulação de produtos.</t>
  </si>
  <si>
    <t>https://dados.gov.br/dados/conjuntos-dados/produtos-e-planos-de-saude</t>
  </si>
  <si>
    <t>ANS - Ressarcimento ao SUS recebeu score considerando popularidade geral (3/5), uso/aderência institucional em VE (3/5), especificidade para VE (2/5) e adequação para estudos/compartilhamento (4/5).</t>
  </si>
  <si>
    <t>ANS / ressarcimento ao SUS</t>
  </si>
  <si>
    <t>ANS - Ressarcimento ao SUS</t>
  </si>
  <si>
    <t>Brasil; ressarcimento ao SUS por planos privados</t>
  </si>
  <si>
    <t>Dados e informações regulatórias sobre uso do SUS por beneficiários de planos.</t>
  </si>
  <si>
    <t>Integração público-privada, carga assistencial e avaliação econômica.</t>
  </si>
  <si>
    <t>https://www.gov.br/ans/pt-br/assuntos/operadoras/compromissos-e-interacoes-com-a-ans-1/ressarcimento-ao-sus</t>
  </si>
  <si>
    <t>ANS - Taxa de cobertura da saúde suplementar recebeu score considerando popularidade geral (3/5), uso/aderência institucional em VE (3/5), especificidade para VE (2/5) e adequação para estudos/compartilhamento (4/5).</t>
  </si>
  <si>
    <t>ANS / indicadores do setor</t>
  </si>
  <si>
    <t>ANS - Taxa de cobertura da saúde suplementar</t>
  </si>
  <si>
    <t>Brasil; indicadores TabNet da ANS</t>
  </si>
  <si>
    <t>Tabulações públicas da ANS sobre cobertura e setor suplementar.</t>
  </si>
  <si>
    <t>Denominadores complementares, desigualdade territorial e acesso.</t>
  </si>
  <si>
    <t>https://www.ans.gov.br/anstabnet/cgi-bin/dh?dados/tabnet_br.def</t>
  </si>
  <si>
    <t>https://www.google.com/s2/favicons?domain=ans.gov.br&amp;sz=64</t>
  </si>
  <si>
    <t>ANS - Índice de Desempenho da Saúde Suplementar (IDSS) recebeu score considerando popularidade geral (3/5), uso/aderência institucional em VE (3/5), especificidade para VE (2/5) e adequação para estudos/compartilhamento (4/5).</t>
  </si>
  <si>
    <t>ANS / qualidade regulatória</t>
  </si>
  <si>
    <t>ANS - Índice de Desempenho da Saúde Suplementar (IDSS)</t>
  </si>
  <si>
    <t>Brasil; avaliação de desempenho de operadoras</t>
  </si>
  <si>
    <t>Indicadores de desempenho de operadoras da saúde suplementar.</t>
  </si>
  <si>
    <t>Qualidade, regulação, comparação de operadoras e transparência do setor.</t>
  </si>
  <si>
    <t>https://www.gov.br/ans/pt-br/assuntos/informacoes-e-avaliacoes-de-operadoras/qualificacao-ans</t>
  </si>
  <si>
    <t>Anvisa - Autorização de Funcionamento de Empresas (AFE) recebeu score considerando popularidade geral (3/5), uso/aderência institucional em VE (3/5), especificidade para VE (2/5) e adequação para estudos/compartilhamento (4/5).</t>
  </si>
  <si>
    <t>Anvisa / empresas reguladas</t>
  </si>
  <si>
    <t>Anvisa - Autorização de Funcionamento de Empresas (AFE)</t>
  </si>
  <si>
    <t>Brasil; empresas autorizadas pela Anvisa</t>
  </si>
  <si>
    <t>Consulta de empresas com autorização de funcionamento e dados regulatórios.</t>
  </si>
  <si>
    <t>Mapeamento de empresas, rede produtiva, distribuição e fiscalização.</t>
  </si>
  <si>
    <t>https://consultas.anvisa.gov.br/#/empresas/</t>
  </si>
  <si>
    <t>CEMADEN - alertas e monitoramento de desastres recebeu score considerando popularidade geral (3/5), uso/aderência institucional em VE (3/5), especificidade para VE (2/5) e adequação para estudos/compartilhamento (4/5).</t>
  </si>
  <si>
    <t>Desastres / risco ambiental</t>
  </si>
  <si>
    <t>CEMADEN - alertas e monitoramento de desastres</t>
  </si>
  <si>
    <t>Brasil; alertas de desastres naturais e monitoramento</t>
  </si>
  <si>
    <t>Dados e produtos sobre risco de desastres naturais.</t>
  </si>
  <si>
    <t>Saúde em desastres, resposta a enchentes/deslizamentos e vigilância de risco.</t>
  </si>
  <si>
    <t>https://www.gov.br/cemaden/pt-br</t>
  </si>
  <si>
    <t>Fiocruz Data Reuse / FAIR Data recebeu score considerando popularidade geral (3/5), uso/aderência institucional em VE (3/5), especificidade para VE (2/5) e adequação para estudos/compartilhamento (4/5).</t>
  </si>
  <si>
    <t>Fiocruz / ciência aberta</t>
  </si>
  <si>
    <t>Fiocruz Data Reuse / FAIR Data</t>
  </si>
  <si>
    <t>Fiocruz; política e serviços de dados abertos e reuso</t>
  </si>
  <si>
    <t>Recursos institucionais relacionados a dados abertos e repositórios Fiocruz.</t>
  </si>
  <si>
    <t>Governança, catalogação, reuso de dados e ciência aberta.</t>
  </si>
  <si>
    <t>https://fiocruz.br/dados-abertos-0</t>
  </si>
  <si>
    <t>SyntheticMass data from Synthea recebeu score considerando popularidade geral (3/5), uso/aderência institucional em VE (3/5), especificidade para VE (2/5) e adequação para estudos/compartilhamento (4/5).</t>
  </si>
  <si>
    <t>Dados sintéticos / Massachusetts</t>
  </si>
  <si>
    <t>SyntheticMass data from Synthea</t>
  </si>
  <si>
    <t>Pacientes sintéticos para Massachusetts</t>
  </si>
  <si>
    <t>Conjunto público de dados sintéticos gerados pelo Synthea.</t>
  </si>
  <si>
    <t>Treinamento em FHIR, CSV, dashboards e pipelines de saúde.</t>
  </si>
  <si>
    <t>https://synthea.mitre.org/downloads</t>
  </si>
  <si>
    <t>https://www.google.com/s2/favicons?domain=synthea.mitre.org&amp;sz=64</t>
  </si>
  <si>
    <t>FHIR synthetic datasets for testing recebeu score considerando popularidade geral (4/5), uso/aderência institucional em VE (2/5), especificidade para VE (2/5) e adequação para estudos/compartilhamento (4/5).</t>
  </si>
  <si>
    <t>Dados sintéticos / FHIR</t>
  </si>
  <si>
    <t>FHIR synthetic datasets for testing</t>
  </si>
  <si>
    <t>Dados sintéticos e exemplos FHIR</t>
  </si>
  <si>
    <t>Recursos de exemplo para interoperabilidade em FHIR.</t>
  </si>
  <si>
    <t>Testes de APIs, interoperabilidade e protótipos de dados de saúde.</t>
  </si>
  <si>
    <t>https://hl7.org/fhir/</t>
  </si>
  <si>
    <t>https://www.google.com/s2/favicons?domain=hl7.org&amp;sz=64</t>
  </si>
  <si>
    <t>EpiJSON example outbreak data recebeu score considerando popularidade geral (2/5), uso/aderência institucional em VE (3/5), especificidade para VE (4/5) e adequação para estudos/compartilhamento (3/5).</t>
  </si>
  <si>
    <t>Dados sintéticos / padronização</t>
  </si>
  <si>
    <t>EpiJSON example outbreak data</t>
  </si>
  <si>
    <t>Exemplos de dados epidemiológicos em formato EpiJSON</t>
  </si>
  <si>
    <t>Formato e exemplos para dados de surtos e epidemiologia.</t>
  </si>
  <si>
    <t>Interoperabilidade, ensino e padronização de linelists.</t>
  </si>
  <si>
    <t>https://epijson.org/</t>
  </si>
  <si>
    <t>https://www.google.com/s2/favicons?domain=epijson.org&amp;sz=64</t>
  </si>
  <si>
    <t>BVS Fiocruz recebeu score considerando popularidade geral (3/5), uso/aderência institucional em VE (3/5), especificidade para VE (2/5) e adequação para estudos/compartilhamento (3/5).</t>
  </si>
  <si>
    <t>Fiocruz / documentação científica</t>
  </si>
  <si>
    <t>BVS Fiocruz</t>
  </si>
  <si>
    <t>Brasil; documentos, publicações e recursos de saúde pública</t>
  </si>
  <si>
    <t>Biblioteca virtual com registros bibliográficos e documentos técnico-científicos.</t>
  </si>
  <si>
    <t>Revisões rápidas, levantamento de evidências e contextualização de análises.</t>
  </si>
  <si>
    <t>https://bvsfiocruz.fiocruz.br/</t>
  </si>
  <si>
    <t>https://www.google.com/s2/favicons?domain=bvsfiocruz.fiocruz.br&amp;sz=64</t>
  </si>
  <si>
    <t>Simulacrum synthetic cancer data recebeu score considerando popularidade geral (2/5), uso/aderência institucional em VE (3/5), especificidade para VE (3/5) e adequação para estudos/compartilhamento (4/5).</t>
  </si>
  <si>
    <t>Dados sintéticos / câncer</t>
  </si>
  <si>
    <t>Simulacrum synthetic cancer data</t>
  </si>
  <si>
    <t>Reino Unido; dados sintéticos de câncer</t>
  </si>
  <si>
    <t>Dataset sintético derivado de dados de câncer para treinamento e desenvolvimento.</t>
  </si>
  <si>
    <t>Treinamento, análise oncológica e testes de pipelines.</t>
  </si>
  <si>
    <t>https://simulacrum.healthdatainsight.org.uk/</t>
  </si>
  <si>
    <t>https://www.google.com/s2/favicons?domain=simulacrum.healthdatainsight.org.uk&amp;sz=64</t>
  </si>
  <si>
    <t>European Environment Agency Air Quality e-Reporting recebeu score considerando popularidade geral (3/5), uso/aderência institucional em VE (3/5), especificidade para VE (1/5) e adequação para estudos/compartilhamento (4/5).</t>
  </si>
  <si>
    <t>Europa / qualidade do ar</t>
  </si>
  <si>
    <t>European Environment Agency Air Quality e-Reporting</t>
  </si>
  <si>
    <t>Europa; dados ambientais e qualidade do ar</t>
  </si>
  <si>
    <t>Dados ambientais europeus incluindo qualidade do ar.</t>
  </si>
  <si>
    <t>Saúde respiratória, exposição ambiental e modelos espaço-temporais.</t>
  </si>
  <si>
    <t>https://www.eea.europa.eu/en/datahub</t>
  </si>
  <si>
    <t>https://www.google.com/s2/favicons?domain=eea.europa.eu&amp;sz=64</t>
  </si>
  <si>
    <t>Figshare health datasets recebeu score considerando popularidade geral (4/5), uso/aderência institucional em VE (2/5), especificidade para VE (1/5) e adequação para estudos/compartilhamento (4/5).</t>
  </si>
  <si>
    <t>Figshare health datasets</t>
  </si>
  <si>
    <t>Global; materiais suplementares e datasets</t>
  </si>
  <si>
    <t>Repositório para dados, figuras e artefatos de pesquisa.</t>
  </si>
  <si>
    <t>Dados suplementares, DOI, reuso e replicação.</t>
  </si>
  <si>
    <t>https://figshare.com/</t>
  </si>
  <si>
    <t>https://www.google.com/s2/favicons?domain=figshare.com&amp;sz=64</t>
  </si>
  <si>
    <t>Open Science Framework (OSF) recebeu score considerando popularidade geral (4/5), uso/aderência institucional em VE (2/5), especificidade para VE (1/5) e adequação para estudos/compartilhamento (4/5).</t>
  </si>
  <si>
    <t>Repositório/projetos de pesquisa</t>
  </si>
  <si>
    <t>Open Science Framework (OSF)</t>
  </si>
  <si>
    <t>Global; projetos, protocolos e datasets</t>
  </si>
  <si>
    <t>Plataforma para colaboração, protocolos e dados de ciência aberta.</t>
  </si>
  <si>
    <t>Protocolos, materiais suplementares, pré-registros e colaboração.</t>
  </si>
  <si>
    <t>https://osf.io/</t>
  </si>
  <si>
    <t>https://www.google.com/s2/favicons?domain=osf.io&amp;sz=64</t>
  </si>
  <si>
    <t>Synthetic Data Vault (SDV) recebeu score considerando popularidade geral (4/5), uso/aderência institucional em VE (2/5), especificidade para VE (1/5) e adequação para estudos/compartilhamento (4/5).</t>
  </si>
  <si>
    <t>Dados sintéticos / geração tabular</t>
  </si>
  <si>
    <t>Synthetic Data Vault (SDV)</t>
  </si>
  <si>
    <t>Geração de dados sintéticos tabulares e relacionais</t>
  </si>
  <si>
    <t>Framework para modelar e gerar dados sintéticos.</t>
  </si>
  <si>
    <t>Demonstrações, testes de pipelines, documentação e privacidade.</t>
  </si>
  <si>
    <t>https://sdv.dev/</t>
  </si>
  <si>
    <t>https://www.google.com/s2/favicons?domain=sdv.dev&amp;sz=64</t>
  </si>
  <si>
    <t>The SynPUF 5% Sample for OMOP recebeu score considerando popularidade geral (3/5), uso/aderência institucional em VE (2/5), especificidade para VE (2/5) e adequação para estudos/compartilhamento (4/5).</t>
  </si>
  <si>
    <t>The SynPUF 5% Sample for OMOP</t>
  </si>
  <si>
    <t>Claims sintéticos em modelo comum de dados</t>
  </si>
  <si>
    <t>Exemplos de ETL e dados CMS DE-SynPUF para OMOP CDM.</t>
  </si>
  <si>
    <t>Treinamento em ETL, OMOP e estudos observacionais simulados.</t>
  </si>
  <si>
    <t>https://github.com/OHDSI/ETL-CMS</t>
  </si>
  <si>
    <t>ANS - Rol de Procedimentos e Eventos em Saúde recebeu score considerando popularidade geral (3/5), uso/aderência institucional em VE (2/5), especificidade para VE (2/5) e adequação para estudos/compartilhamento (3/5).</t>
  </si>
  <si>
    <t>ANS / cobertura assistencial</t>
  </si>
  <si>
    <t>ANS - Rol de Procedimentos e Eventos em Saúde</t>
  </si>
  <si>
    <t>Brasil; procedimentos obrigatórios na saúde suplementar</t>
  </si>
  <si>
    <t>Listas e atos normativos do Rol de Procedimentos e Eventos em Saúde.</t>
  </si>
  <si>
    <t>Cobertura assistencial, análise regulatória, judicialização e acesso.</t>
  </si>
  <si>
    <t>https://www.gov.br/ans/pt-br/assuntos/consumidor/o-que-o-seu-plano-de-saude-deve-cobrir-1</t>
  </si>
  <si>
    <t>Anvisa - cosméticos regularizados recebeu score considerando popularidade geral (3/5), uso/aderência institucional em VE (2/5), especificidade para VE (2/5) e adequação para estudos/compartilhamento (3/5).</t>
  </si>
  <si>
    <t>Anvisa / cosméticos</t>
  </si>
  <si>
    <t>Anvisa - cosméticos regularizados</t>
  </si>
  <si>
    <t>Brasil; produtos cosméticos regularizados</t>
  </si>
  <si>
    <t>Consulta pública de produtos cosméticos, regularização e empresas.</t>
  </si>
  <si>
    <t>Monitoramento regulatório, eventos adversos e segurança de produtos.</t>
  </si>
  <si>
    <t>https://consultas.anvisa.gov.br/#/cosmeticos/</t>
  </si>
  <si>
    <t>Dryad health data recebeu score considerando popularidade geral (3/5), uso/aderência institucional em VE (2/5), especificidade para VE (1/5) e adequação para estudos/compartilhamento (4/5).</t>
  </si>
  <si>
    <t>Dryad health data</t>
  </si>
  <si>
    <t>Global; dados de pesquisa curados</t>
  </si>
  <si>
    <t>Repositório curado para dados subjacentes a publicações.</t>
  </si>
  <si>
    <t>Replicação de estudos, biodiversidade, saúde e ecologia de doenças.</t>
  </si>
  <si>
    <t>https://datadryad.org/</t>
  </si>
  <si>
    <t>https://www.google.com/s2/favicons?domain=datadryad.org&amp;sz=64</t>
  </si>
  <si>
    <t>synthpop synthetic microdata recebeu score considerando popularidade geral (3/5), uso/aderência institucional em VE (2/5), especificidade para VE (1/5) e adequação para estudos/compartilhamento (4/5).</t>
  </si>
  <si>
    <t>Dados sintéticos / microdados</t>
  </si>
  <si>
    <t>synthpop synthetic microdata</t>
  </si>
  <si>
    <t>Geração de microdados sintéticos em R</t>
  </si>
  <si>
    <t>Pacote R para criar versões sintéticas de microdados.</t>
  </si>
  <si>
    <t>Treinamento, compartilhamento seguro e exemplos reprodutíveis.</t>
  </si>
  <si>
    <t>https://cran.r-project.org/package=synthpop</t>
  </si>
  <si>
    <t>UNODC Data Portal recebeu score considerando popularidade geral (3/5), uso/aderência institucional em VE (2/5), especificidade para VE (1/5) e adequação para estudos/compartilhamento (4/5).</t>
  </si>
  <si>
    <t>Drogas e crime / saúde pública</t>
  </si>
  <si>
    <t>UNODC Data Portal</t>
  </si>
  <si>
    <t>Global; drogas, crime e justiça</t>
  </si>
  <si>
    <t>Dados internacionais sobre drogas e crimes com implicações em saúde pública.</t>
  </si>
  <si>
    <t>Determinantes, violência, drogas, óbitos e saúde pública intersetorial.</t>
  </si>
  <si>
    <t>https://dataunodc.un.org/</t>
  </si>
  <si>
    <t>https://www.google.com/s2/favicons?domain=dataunodc.un.org&amp;sz=64</t>
  </si>
  <si>
    <t>Simulated epidemics with pomp examples recebeu score considerando popularidade geral (2/5), uso/aderência institucional em VE (2/5), especificidade para VE (3/5) e adequação para estudos/compartilhamento (3/5).</t>
  </si>
  <si>
    <t>Dados sintéticos / modelos dinâmicos</t>
  </si>
  <si>
    <t>Simulated epidemics with pomp examples</t>
  </si>
  <si>
    <t>Dados simulados para modelos parcialmente observados</t>
  </si>
  <si>
    <t>Exemplos e simulações para modelos dinâmicos estocásticos.</t>
  </si>
  <si>
    <t>Ensino de modelagem, inferência e simulação de epidemias.</t>
  </si>
  <si>
    <t>https://kingaa.github.io/pomp/</t>
  </si>
  <si>
    <t>https://www.google.com/s2/favicons?domain=kingaa.github.io&amp;sz=64</t>
  </si>
  <si>
    <t>Mesa agent-based epidemiological simulations recebeu score considerando popularidade geral (3/5), uso/aderência institucional em VE (2/5), especificidade para VE (1/5) e adequação para estudos/compartilhamento (3/5).</t>
  </si>
  <si>
    <t>Dados sintéticos / agentes</t>
  </si>
  <si>
    <t>Mesa agent-based epidemiological simulations</t>
  </si>
  <si>
    <t>Simulações baseadas em agentes em Python</t>
  </si>
  <si>
    <t>Framework para simular agentes e gerar dados sintéticos de comportamento.</t>
  </si>
  <si>
    <t>Cenários de transmissão, mobilidade, comportamento e ensino.</t>
  </si>
  <si>
    <t>https://mesa.readthedocs.io/</t>
  </si>
  <si>
    <t>https://www.google.com/s2/favicons?domain=mesa.readthedocs.io&amp;sz=64</t>
  </si>
  <si>
    <t>cenario</t>
  </si>
  <si>
    <t>ferramentas_sugeridas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</si>
</sst>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2" fontId="0" fillId="0" borderId="0" xfId="0" applyNumberFormat="1" applyAlignment="1">
      <alignment vertical="top" wrapText="1"/>
    </xf>
    <xf numFmtId="0" fontId="1" fillId="2" borderId="2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" fontId="2" fillId="3" borderId="2" xfId="0" applyNumberFormat="1" applyFont="1" applyFill="1" applyBorder="1" applyAlignment="1">
      <alignment vertical="top"/>
    </xf>
    <xf numFmtId="1" fontId="2" fillId="3" borderId="1" xfId="0" applyNumberFormat="1" applyFont="1" applyFill="1" applyBorder="1" applyAlignment="1">
      <alignment vertical="top"/>
    </xf>
    <xf numFmtId="2" fontId="2" fillId="3" borderId="1" xfId="0" applyNumberFormat="1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1" fontId="2" fillId="0" borderId="2" xfId="0" applyNumberFormat="1" applyFont="1" applyBorder="1" applyAlignment="1">
      <alignment vertical="top"/>
    </xf>
    <xf numFmtId="1" fontId="2" fillId="0" borderId="1" xfId="0" applyNumberFormat="1" applyFont="1" applyBorder="1" applyAlignment="1">
      <alignment vertical="top"/>
    </xf>
    <xf numFmtId="2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3">
    <dxf>
      <fill>
        <patternFill patternType="solid">
          <bgColor rgb="FFFEF3C7"/>
        </patternFill>
      </fill>
    </dxf>
    <dxf>
      <fill>
        <patternFill patternType="solid">
          <bgColor rgb="FFE0F2FE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setsVERankings" displayName="DatasetsVERankings" ref="A1:Z35">
  <tableColumns count="26">
    <tableColumn id="1" xr3:uid="{00000000-0010-0000-0000-000001000000}" name="rank_balanceado"/>
    <tableColumn id="2" xr3:uid="{00000000-0010-0000-0000-000002000000}" name="rank_popularidade_geral"/>
    <tableColumn id="3" xr3:uid="{00000000-0010-0000-0000-000003000000}" name="rank_uso_institucional_ve"/>
    <tableColumn id="4" xr3:uid="{00000000-0010-0000-0000-000004000000}" name="rank_especificidade_ve"/>
    <tableColumn id="5" xr3:uid="{00000000-0010-0000-0000-000005000000}" name="rank_adequacao_informes"/>
    <tableColumn id="6" xr3:uid="{00000000-0010-0000-0000-000006000000}" name="score_balanceado"/>
    <tableColumn id="7" xr3:uid="{00000000-0010-0000-0000-000007000000}" name="popularidade_geral_1a5"/>
    <tableColumn id="8" xr3:uid="{00000000-0010-0000-0000-000008000000}" name="uso_institucional_ve_1a5"/>
    <tableColumn id="9" xr3:uid="{00000000-0010-0000-0000-000009000000}" name="especificidade_ve_1a5"/>
    <tableColumn id="10" xr3:uid="{00000000-0010-0000-0000-00000A000000}" name="adequacao_informes_1a5"/>
    <tableColumn id="11" xr3:uid="{00000000-0010-0000-0000-00000B000000}" name="nota_criterio_ranking"/>
    <tableColumn id="12" xr3:uid="{00000000-0010-0000-0000-00000C000000}" name="categoria"/>
    <tableColumn id="13" xr3:uid="{00000000-0010-0000-0000-00000D000000}" name="ferramenta"/>
    <tableColumn id="14" xr3:uid="{00000000-0010-0000-0000-00000E000000}" name="tipo"/>
    <tableColumn id="15" xr3:uid="{00000000-0010-0000-0000-00000F000000}" name="gratuita_ou_paga"/>
    <tableColumn id="16" xr3:uid="{00000000-0010-0000-0000-000010000000}" name="generica_ou_especifica_ve"/>
    <tableColumn id="17" xr3:uid="{00000000-0010-0000-0000-000011000000}" name="escopo"/>
    <tableColumn id="18" xr3:uid="{00000000-0010-0000-0000-000012000000}" name="conteudo_principal"/>
    <tableColumn id="19" xr3:uid="{00000000-0010-0000-0000-000013000000}" name="uso_no_contexto_ve"/>
    <tableColumn id="20" xr3:uid="{00000000-0010-0000-0000-000014000000}" name="casos_de_aplicacao_na_area"/>
    <tableColumn id="21" xr3:uid="{00000000-0010-0000-0000-000015000000}" name="formatos_de_divulgacao"/>
    <tableColumn id="22" xr3:uid="{00000000-0010-0000-0000-000016000000}" name="publico_alvo"/>
    <tableColumn id="23" xr3:uid="{00000000-0010-0000-0000-000017000000}" name="potencial_para_ve_e_ciencia_de_dados"/>
    <tableColumn id="24" xr3:uid="{00000000-0010-0000-0000-000018000000}" name="cuidados_observacoes"/>
    <tableColumn id="25" xr3:uid="{00000000-0010-0000-0000-000019000000}" name="fonte"/>
    <tableColumn id="26" xr3:uid="{00000000-0010-0000-0000-00001A000000}" name="thumbnail_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riterios" displayName="Criterios" ref="A1:B13">
  <tableColumns count="2">
    <tableColumn id="1" xr3:uid="{00000000-0010-0000-0100-000001000000}" name="campo"/>
    <tableColumn id="2" xr3:uid="{00000000-0010-0000-0100-000002000000}" name="descri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umo" displayName="Resumo" ref="A1:B13">
  <tableColumns count="2">
    <tableColumn id="1" xr3:uid="{00000000-0010-0000-0200-000001000000}" name="indicador"/>
    <tableColumn id="2" xr3:uid="{00000000-0010-0000-0200-000002000000}" name="val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A95A0C-1619-48BD-9C21-AF586DC1B06D}" name="SugestaoPorProduto6" displayName="SugestaoPorProduto6" ref="A1:E12">
  <tableColumns count="5">
    <tableColumn id="1" xr3:uid="{CEA41439-4D48-4476-A2A4-2C0471736610}" name="cenario"/>
    <tableColumn id="2" xr3:uid="{9D263234-96BC-4787-B003-3EEC40A32676}" name="ferramentas_sugeridas"/>
    <tableColumn id="3" xr3:uid="{D6BCA12B-1AA6-443B-B076-18E3101B567E}" name="quando_usar"/>
    <tableColumn id="4" xr3:uid="{48799942-6110-4179-B100-0910BA8E8799}" name="principais_entregaveis"/>
    <tableColumn id="5" xr3:uid="{E27FF304-BFC3-4829-B7D4-25E43BA0069A}" name="cuidad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66A0-4409-4464-AD2F-5BCCC9767509}">
  <dimension ref="A1:AA156"/>
  <sheetViews>
    <sheetView topLeftCell="P1" workbookViewId="0">
      <selection activeCell="Z3" sqref="Z3"/>
    </sheetView>
  </sheetViews>
  <sheetFormatPr defaultRowHeight="13.8"/>
  <cols>
    <col min="26" max="26" width="61" customWidth="1"/>
  </cols>
  <sheetData>
    <row r="1" spans="1:27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371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</row>
    <row r="2" spans="1:27">
      <c r="A2" s="8">
        <v>1</v>
      </c>
      <c r="B2" s="9">
        <v>1</v>
      </c>
      <c r="C2" s="9">
        <v>1</v>
      </c>
      <c r="D2" s="9">
        <v>1</v>
      </c>
      <c r="E2" s="9">
        <v>1</v>
      </c>
      <c r="F2" s="10">
        <f t="shared" ref="F2:F65" si="0">ROUND(0.35*G2+0.35*H2+0.2*I2+0.1*J2,2)</f>
        <v>5</v>
      </c>
      <c r="G2" s="9">
        <v>5</v>
      </c>
      <c r="H2" s="9">
        <v>5</v>
      </c>
      <c r="I2" s="9">
        <v>5</v>
      </c>
      <c r="J2" s="9">
        <v>5</v>
      </c>
      <c r="K2" s="11" t="s">
        <v>372</v>
      </c>
      <c r="L2" s="11" t="s">
        <v>373</v>
      </c>
      <c r="M2" s="11" t="s">
        <v>374</v>
      </c>
      <c r="N2" s="11" t="s">
        <v>59</v>
      </c>
      <c r="O2" s="11" t="s">
        <v>375</v>
      </c>
      <c r="P2" s="11" t="s">
        <v>376</v>
      </c>
      <c r="Q2" s="11" t="s">
        <v>32</v>
      </c>
      <c r="R2" s="11" t="s">
        <v>377</v>
      </c>
      <c r="S2" s="11" t="s">
        <v>378</v>
      </c>
      <c r="T2" s="11" t="s">
        <v>35</v>
      </c>
      <c r="U2" s="11" t="s">
        <v>379</v>
      </c>
      <c r="V2" s="11" t="s">
        <v>380</v>
      </c>
      <c r="W2" s="11" t="s">
        <v>381</v>
      </c>
      <c r="X2" s="11" t="s">
        <v>379</v>
      </c>
      <c r="Y2" s="11" t="s">
        <v>382</v>
      </c>
      <c r="Z2" s="11" t="s">
        <v>64</v>
      </c>
      <c r="AA2" s="11" t="s">
        <v>65</v>
      </c>
    </row>
    <row r="3" spans="1:27">
      <c r="A3" s="12">
        <v>2</v>
      </c>
      <c r="B3" s="13">
        <v>2</v>
      </c>
      <c r="C3" s="13">
        <v>2</v>
      </c>
      <c r="D3" s="13">
        <v>2</v>
      </c>
      <c r="E3" s="13">
        <v>2</v>
      </c>
      <c r="F3" s="14">
        <f t="shared" si="0"/>
        <v>5</v>
      </c>
      <c r="G3" s="13">
        <v>5</v>
      </c>
      <c r="H3" s="13">
        <v>5</v>
      </c>
      <c r="I3" s="13">
        <v>5</v>
      </c>
      <c r="J3" s="13">
        <v>5</v>
      </c>
      <c r="K3" s="15" t="s">
        <v>372</v>
      </c>
      <c r="L3" s="15" t="s">
        <v>383</v>
      </c>
      <c r="M3" s="15" t="s">
        <v>384</v>
      </c>
      <c r="N3" s="15" t="s">
        <v>385</v>
      </c>
      <c r="O3" s="15" t="s">
        <v>375</v>
      </c>
      <c r="P3" s="15" t="s">
        <v>376</v>
      </c>
      <c r="Q3" s="15" t="s">
        <v>32</v>
      </c>
      <c r="R3" s="15" t="s">
        <v>386</v>
      </c>
      <c r="S3" s="15" t="s">
        <v>387</v>
      </c>
      <c r="T3" s="15" t="s">
        <v>35</v>
      </c>
      <c r="U3" s="15" t="s">
        <v>388</v>
      </c>
      <c r="V3" s="15" t="s">
        <v>380</v>
      </c>
      <c r="W3" s="15" t="s">
        <v>381</v>
      </c>
      <c r="X3" s="15" t="s">
        <v>388</v>
      </c>
      <c r="Y3" s="15" t="s">
        <v>382</v>
      </c>
      <c r="Z3" s="15" t="s">
        <v>389</v>
      </c>
      <c r="AA3" s="15" t="s">
        <v>390</v>
      </c>
    </row>
    <row r="4" spans="1:27">
      <c r="A4" s="8">
        <v>3</v>
      </c>
      <c r="B4" s="9">
        <v>3</v>
      </c>
      <c r="C4" s="9">
        <v>3</v>
      </c>
      <c r="D4" s="9">
        <v>3</v>
      </c>
      <c r="E4" s="9">
        <v>3</v>
      </c>
      <c r="F4" s="10">
        <f t="shared" si="0"/>
        <v>5</v>
      </c>
      <c r="G4" s="9">
        <v>5</v>
      </c>
      <c r="H4" s="9">
        <v>5</v>
      </c>
      <c r="I4" s="9">
        <v>5</v>
      </c>
      <c r="J4" s="9">
        <v>5</v>
      </c>
      <c r="K4" s="11" t="s">
        <v>372</v>
      </c>
      <c r="L4" s="11" t="s">
        <v>391</v>
      </c>
      <c r="M4" s="11" t="s">
        <v>392</v>
      </c>
      <c r="N4" s="11" t="s">
        <v>393</v>
      </c>
      <c r="O4" s="11" t="s">
        <v>375</v>
      </c>
      <c r="P4" s="11" t="s">
        <v>376</v>
      </c>
      <c r="Q4" s="11" t="s">
        <v>32</v>
      </c>
      <c r="R4" s="11" t="s">
        <v>394</v>
      </c>
      <c r="S4" s="11" t="s">
        <v>395</v>
      </c>
      <c r="T4" s="11" t="s">
        <v>35</v>
      </c>
      <c r="U4" s="11" t="s">
        <v>396</v>
      </c>
      <c r="V4" s="11" t="s">
        <v>380</v>
      </c>
      <c r="W4" s="11" t="s">
        <v>381</v>
      </c>
      <c r="X4" s="11" t="s">
        <v>396</v>
      </c>
      <c r="Y4" s="11" t="s">
        <v>382</v>
      </c>
      <c r="Z4" s="11" t="s">
        <v>161</v>
      </c>
      <c r="AA4" s="11" t="s">
        <v>41</v>
      </c>
    </row>
    <row r="5" spans="1:27">
      <c r="A5" s="12">
        <v>4</v>
      </c>
      <c r="B5" s="13">
        <v>4</v>
      </c>
      <c r="C5" s="13">
        <v>4</v>
      </c>
      <c r="D5" s="13">
        <v>4</v>
      </c>
      <c r="E5" s="13">
        <v>4</v>
      </c>
      <c r="F5" s="14">
        <f t="shared" si="0"/>
        <v>5</v>
      </c>
      <c r="G5" s="13">
        <v>5</v>
      </c>
      <c r="H5" s="13">
        <v>5</v>
      </c>
      <c r="I5" s="13">
        <v>5</v>
      </c>
      <c r="J5" s="13">
        <v>5</v>
      </c>
      <c r="K5" s="15" t="s">
        <v>372</v>
      </c>
      <c r="L5" s="15" t="s">
        <v>397</v>
      </c>
      <c r="M5" s="15" t="s">
        <v>398</v>
      </c>
      <c r="N5" s="15" t="s">
        <v>399</v>
      </c>
      <c r="O5" s="15" t="s">
        <v>375</v>
      </c>
      <c r="P5" s="15" t="s">
        <v>376</v>
      </c>
      <c r="Q5" s="15" t="s">
        <v>32</v>
      </c>
      <c r="R5" s="15" t="s">
        <v>400</v>
      </c>
      <c r="S5" s="15" t="s">
        <v>401</v>
      </c>
      <c r="T5" s="15" t="s">
        <v>35</v>
      </c>
      <c r="U5" s="15" t="s">
        <v>402</v>
      </c>
      <c r="V5" s="15" t="s">
        <v>380</v>
      </c>
      <c r="W5" s="15" t="s">
        <v>381</v>
      </c>
      <c r="X5" s="15" t="s">
        <v>402</v>
      </c>
      <c r="Y5" s="15" t="s">
        <v>382</v>
      </c>
      <c r="Z5" s="15" t="s">
        <v>403</v>
      </c>
      <c r="AA5" s="15" t="s">
        <v>41</v>
      </c>
    </row>
    <row r="6" spans="1:27">
      <c r="A6" s="8">
        <v>5</v>
      </c>
      <c r="B6" s="9">
        <v>5</v>
      </c>
      <c r="C6" s="9">
        <v>5</v>
      </c>
      <c r="D6" s="9">
        <v>5</v>
      </c>
      <c r="E6" s="9">
        <v>5</v>
      </c>
      <c r="F6" s="10">
        <f t="shared" si="0"/>
        <v>5</v>
      </c>
      <c r="G6" s="9">
        <v>5</v>
      </c>
      <c r="H6" s="9">
        <v>5</v>
      </c>
      <c r="I6" s="9">
        <v>5</v>
      </c>
      <c r="J6" s="9">
        <v>5</v>
      </c>
      <c r="K6" s="11" t="s">
        <v>372</v>
      </c>
      <c r="L6" s="11" t="s">
        <v>404</v>
      </c>
      <c r="M6" s="11" t="s">
        <v>405</v>
      </c>
      <c r="N6" s="11" t="s">
        <v>406</v>
      </c>
      <c r="O6" s="11" t="s">
        <v>375</v>
      </c>
      <c r="P6" s="11" t="s">
        <v>376</v>
      </c>
      <c r="Q6" s="11" t="s">
        <v>32</v>
      </c>
      <c r="R6" s="11" t="s">
        <v>407</v>
      </c>
      <c r="S6" s="11" t="s">
        <v>408</v>
      </c>
      <c r="T6" s="11" t="s">
        <v>35</v>
      </c>
      <c r="U6" s="11" t="s">
        <v>409</v>
      </c>
      <c r="V6" s="11" t="s">
        <v>380</v>
      </c>
      <c r="W6" s="11" t="s">
        <v>381</v>
      </c>
      <c r="X6" s="11" t="s">
        <v>409</v>
      </c>
      <c r="Y6" s="11" t="s">
        <v>382</v>
      </c>
      <c r="Z6" s="11" t="s">
        <v>410</v>
      </c>
      <c r="AA6" s="11" t="s">
        <v>65</v>
      </c>
    </row>
    <row r="7" spans="1:27">
      <c r="A7" s="12">
        <v>6</v>
      </c>
      <c r="B7" s="13">
        <v>6</v>
      </c>
      <c r="C7" s="13">
        <v>6</v>
      </c>
      <c r="D7" s="13">
        <v>6</v>
      </c>
      <c r="E7" s="13">
        <v>6</v>
      </c>
      <c r="F7" s="14">
        <f t="shared" si="0"/>
        <v>5</v>
      </c>
      <c r="G7" s="13">
        <v>5</v>
      </c>
      <c r="H7" s="13">
        <v>5</v>
      </c>
      <c r="I7" s="13">
        <v>5</v>
      </c>
      <c r="J7" s="13">
        <v>5</v>
      </c>
      <c r="K7" s="15" t="s">
        <v>372</v>
      </c>
      <c r="L7" s="15" t="s">
        <v>411</v>
      </c>
      <c r="M7" s="15" t="s">
        <v>398</v>
      </c>
      <c r="N7" s="15" t="s">
        <v>412</v>
      </c>
      <c r="O7" s="15" t="s">
        <v>375</v>
      </c>
      <c r="P7" s="15" t="s">
        <v>376</v>
      </c>
      <c r="Q7" s="15" t="s">
        <v>32</v>
      </c>
      <c r="R7" s="15" t="s">
        <v>413</v>
      </c>
      <c r="S7" s="15" t="s">
        <v>414</v>
      </c>
      <c r="T7" s="15" t="s">
        <v>35</v>
      </c>
      <c r="U7" s="15" t="s">
        <v>415</v>
      </c>
      <c r="V7" s="15" t="s">
        <v>380</v>
      </c>
      <c r="W7" s="15" t="s">
        <v>381</v>
      </c>
      <c r="X7" s="15" t="s">
        <v>415</v>
      </c>
      <c r="Y7" s="15" t="s">
        <v>382</v>
      </c>
      <c r="Z7" s="15" t="s">
        <v>416</v>
      </c>
      <c r="AA7" s="15" t="s">
        <v>41</v>
      </c>
    </row>
    <row r="8" spans="1:27">
      <c r="A8" s="8">
        <v>7</v>
      </c>
      <c r="B8" s="9">
        <v>7</v>
      </c>
      <c r="C8" s="9">
        <v>7</v>
      </c>
      <c r="D8" s="9">
        <v>7</v>
      </c>
      <c r="E8" s="9">
        <v>7</v>
      </c>
      <c r="F8" s="10">
        <f t="shared" si="0"/>
        <v>5</v>
      </c>
      <c r="G8" s="9">
        <v>5</v>
      </c>
      <c r="H8" s="9">
        <v>5</v>
      </c>
      <c r="I8" s="9">
        <v>5</v>
      </c>
      <c r="J8" s="9">
        <v>5</v>
      </c>
      <c r="K8" s="11" t="s">
        <v>372</v>
      </c>
      <c r="L8" s="11" t="s">
        <v>417</v>
      </c>
      <c r="M8" s="11" t="s">
        <v>418</v>
      </c>
      <c r="N8" s="11" t="s">
        <v>72</v>
      </c>
      <c r="O8" s="11" t="s">
        <v>375</v>
      </c>
      <c r="P8" s="11" t="s">
        <v>376</v>
      </c>
      <c r="Q8" s="11" t="s">
        <v>32</v>
      </c>
      <c r="R8" s="11" t="s">
        <v>419</v>
      </c>
      <c r="S8" s="11" t="s">
        <v>420</v>
      </c>
      <c r="T8" s="11" t="s">
        <v>35</v>
      </c>
      <c r="U8" s="11" t="s">
        <v>421</v>
      </c>
      <c r="V8" s="11" t="s">
        <v>380</v>
      </c>
      <c r="W8" s="11" t="s">
        <v>381</v>
      </c>
      <c r="X8" s="11" t="s">
        <v>421</v>
      </c>
      <c r="Y8" s="11" t="s">
        <v>382</v>
      </c>
      <c r="Z8" s="11" t="s">
        <v>422</v>
      </c>
      <c r="AA8" s="11" t="s">
        <v>41</v>
      </c>
    </row>
    <row r="9" spans="1:27">
      <c r="A9" s="12">
        <v>8</v>
      </c>
      <c r="B9" s="13">
        <v>8</v>
      </c>
      <c r="C9" s="13">
        <v>8</v>
      </c>
      <c r="D9" s="13">
        <v>8</v>
      </c>
      <c r="E9" s="13">
        <v>8</v>
      </c>
      <c r="F9" s="14">
        <f t="shared" si="0"/>
        <v>5</v>
      </c>
      <c r="G9" s="13">
        <v>5</v>
      </c>
      <c r="H9" s="13">
        <v>5</v>
      </c>
      <c r="I9" s="13">
        <v>5</v>
      </c>
      <c r="J9" s="13">
        <v>5</v>
      </c>
      <c r="K9" s="15" t="s">
        <v>423</v>
      </c>
      <c r="L9" s="15" t="s">
        <v>424</v>
      </c>
      <c r="M9" s="15" t="s">
        <v>425</v>
      </c>
      <c r="N9" s="15" t="s">
        <v>426</v>
      </c>
      <c r="O9" s="15" t="s">
        <v>375</v>
      </c>
      <c r="P9" s="15" t="s">
        <v>376</v>
      </c>
      <c r="Q9" s="15" t="s">
        <v>32</v>
      </c>
      <c r="R9" s="15" t="s">
        <v>427</v>
      </c>
      <c r="S9" s="15" t="s">
        <v>428</v>
      </c>
      <c r="T9" s="15" t="s">
        <v>35</v>
      </c>
      <c r="U9" s="15" t="s">
        <v>429</v>
      </c>
      <c r="V9" s="15" t="s">
        <v>380</v>
      </c>
      <c r="W9" s="15" t="s">
        <v>381</v>
      </c>
      <c r="X9" s="15" t="s">
        <v>429</v>
      </c>
      <c r="Y9" s="15" t="s">
        <v>382</v>
      </c>
      <c r="Z9" s="15" t="s">
        <v>430</v>
      </c>
      <c r="AA9" s="15" t="s">
        <v>92</v>
      </c>
    </row>
    <row r="10" spans="1:27">
      <c r="A10" s="8">
        <v>9</v>
      </c>
      <c r="B10" s="9">
        <v>9</v>
      </c>
      <c r="C10" s="9">
        <v>9</v>
      </c>
      <c r="D10" s="9">
        <v>9</v>
      </c>
      <c r="E10" s="9">
        <v>9</v>
      </c>
      <c r="F10" s="10">
        <f t="shared" si="0"/>
        <v>5</v>
      </c>
      <c r="G10" s="9">
        <v>5</v>
      </c>
      <c r="H10" s="9">
        <v>5</v>
      </c>
      <c r="I10" s="9">
        <v>5</v>
      </c>
      <c r="J10" s="9">
        <v>5</v>
      </c>
      <c r="K10" s="11" t="s">
        <v>423</v>
      </c>
      <c r="L10" s="11" t="s">
        <v>431</v>
      </c>
      <c r="M10" s="11" t="s">
        <v>432</v>
      </c>
      <c r="N10" s="11" t="s">
        <v>433</v>
      </c>
      <c r="O10" s="11" t="s">
        <v>375</v>
      </c>
      <c r="P10" s="11" t="s">
        <v>376</v>
      </c>
      <c r="Q10" s="11" t="s">
        <v>32</v>
      </c>
      <c r="R10" s="11" t="s">
        <v>434</v>
      </c>
      <c r="S10" s="11" t="s">
        <v>435</v>
      </c>
      <c r="T10" s="11" t="s">
        <v>35</v>
      </c>
      <c r="U10" s="11" t="s">
        <v>436</v>
      </c>
      <c r="V10" s="11" t="s">
        <v>380</v>
      </c>
      <c r="W10" s="11" t="s">
        <v>381</v>
      </c>
      <c r="X10" s="11" t="s">
        <v>436</v>
      </c>
      <c r="Y10" s="11" t="s">
        <v>382</v>
      </c>
      <c r="Z10" s="11" t="s">
        <v>437</v>
      </c>
      <c r="AA10" s="11" t="s">
        <v>92</v>
      </c>
    </row>
    <row r="11" spans="1:27">
      <c r="A11" s="12">
        <v>10</v>
      </c>
      <c r="B11" s="13">
        <v>10</v>
      </c>
      <c r="C11" s="13">
        <v>10</v>
      </c>
      <c r="D11" s="13">
        <v>10</v>
      </c>
      <c r="E11" s="13">
        <v>10</v>
      </c>
      <c r="F11" s="14">
        <f t="shared" si="0"/>
        <v>5</v>
      </c>
      <c r="G11" s="13">
        <v>5</v>
      </c>
      <c r="H11" s="13">
        <v>5</v>
      </c>
      <c r="I11" s="13">
        <v>5</v>
      </c>
      <c r="J11" s="13">
        <v>5</v>
      </c>
      <c r="K11" s="15" t="s">
        <v>423</v>
      </c>
      <c r="L11" s="15" t="s">
        <v>438</v>
      </c>
      <c r="M11" s="15" t="s">
        <v>439</v>
      </c>
      <c r="N11" s="15" t="s">
        <v>440</v>
      </c>
      <c r="O11" s="15" t="s">
        <v>375</v>
      </c>
      <c r="P11" s="15" t="s">
        <v>376</v>
      </c>
      <c r="Q11" s="15" t="s">
        <v>32</v>
      </c>
      <c r="R11" s="15" t="s">
        <v>441</v>
      </c>
      <c r="S11" s="15" t="s">
        <v>442</v>
      </c>
      <c r="T11" s="15" t="s">
        <v>35</v>
      </c>
      <c r="U11" s="15" t="s">
        <v>443</v>
      </c>
      <c r="V11" s="15" t="s">
        <v>380</v>
      </c>
      <c r="W11" s="15" t="s">
        <v>381</v>
      </c>
      <c r="X11" s="15" t="s">
        <v>443</v>
      </c>
      <c r="Y11" s="15" t="s">
        <v>382</v>
      </c>
      <c r="Z11" s="15" t="s">
        <v>91</v>
      </c>
      <c r="AA11" s="15" t="s">
        <v>92</v>
      </c>
    </row>
    <row r="12" spans="1:27">
      <c r="A12" s="8">
        <v>11</v>
      </c>
      <c r="B12" s="9">
        <v>11</v>
      </c>
      <c r="C12" s="9">
        <v>11</v>
      </c>
      <c r="D12" s="9">
        <v>11</v>
      </c>
      <c r="E12" s="9">
        <v>68</v>
      </c>
      <c r="F12" s="10">
        <f t="shared" si="0"/>
        <v>4.9000000000000004</v>
      </c>
      <c r="G12" s="9">
        <v>5</v>
      </c>
      <c r="H12" s="9">
        <v>5</v>
      </c>
      <c r="I12" s="9">
        <v>5</v>
      </c>
      <c r="J12" s="9">
        <v>4</v>
      </c>
      <c r="K12" s="11" t="s">
        <v>423</v>
      </c>
      <c r="L12" s="11" t="s">
        <v>444</v>
      </c>
      <c r="M12" s="11" t="s">
        <v>445</v>
      </c>
      <c r="N12" s="11" t="s">
        <v>446</v>
      </c>
      <c r="O12" s="11" t="s">
        <v>375</v>
      </c>
      <c r="P12" s="11" t="s">
        <v>376</v>
      </c>
      <c r="Q12" s="11" t="s">
        <v>32</v>
      </c>
      <c r="R12" s="11" t="s">
        <v>447</v>
      </c>
      <c r="S12" s="11" t="s">
        <v>448</v>
      </c>
      <c r="T12" s="11" t="s">
        <v>35</v>
      </c>
      <c r="U12" s="11" t="s">
        <v>449</v>
      </c>
      <c r="V12" s="11" t="s">
        <v>380</v>
      </c>
      <c r="W12" s="11" t="s">
        <v>381</v>
      </c>
      <c r="X12" s="11" t="s">
        <v>449</v>
      </c>
      <c r="Y12" s="11" t="s">
        <v>382</v>
      </c>
      <c r="Z12" s="11" t="s">
        <v>450</v>
      </c>
      <c r="AA12" s="11" t="s">
        <v>92</v>
      </c>
    </row>
    <row r="13" spans="1:27">
      <c r="A13" s="12">
        <v>12</v>
      </c>
      <c r="B13" s="13">
        <v>31</v>
      </c>
      <c r="C13" s="13">
        <v>12</v>
      </c>
      <c r="D13" s="13">
        <v>12</v>
      </c>
      <c r="E13" s="13">
        <v>11</v>
      </c>
      <c r="F13" s="14">
        <f t="shared" si="0"/>
        <v>4.6500000000000004</v>
      </c>
      <c r="G13" s="13">
        <v>4</v>
      </c>
      <c r="H13" s="13">
        <v>5</v>
      </c>
      <c r="I13" s="13">
        <v>5</v>
      </c>
      <c r="J13" s="13">
        <v>5</v>
      </c>
      <c r="K13" s="15" t="s">
        <v>372</v>
      </c>
      <c r="L13" s="15" t="s">
        <v>451</v>
      </c>
      <c r="M13" s="15" t="s">
        <v>452</v>
      </c>
      <c r="N13" s="15" t="s">
        <v>453</v>
      </c>
      <c r="O13" s="15" t="s">
        <v>375</v>
      </c>
      <c r="P13" s="15" t="s">
        <v>376</v>
      </c>
      <c r="Q13" s="15" t="s">
        <v>32</v>
      </c>
      <c r="R13" s="15" t="s">
        <v>454</v>
      </c>
      <c r="S13" s="15" t="s">
        <v>455</v>
      </c>
      <c r="T13" s="15" t="s">
        <v>35</v>
      </c>
      <c r="U13" s="15" t="s">
        <v>456</v>
      </c>
      <c r="V13" s="15" t="s">
        <v>380</v>
      </c>
      <c r="W13" s="15" t="s">
        <v>381</v>
      </c>
      <c r="X13" s="15" t="s">
        <v>456</v>
      </c>
      <c r="Y13" s="15" t="s">
        <v>382</v>
      </c>
      <c r="Z13" s="15" t="s">
        <v>457</v>
      </c>
      <c r="AA13" s="15" t="s">
        <v>41</v>
      </c>
    </row>
    <row r="14" spans="1:27">
      <c r="A14" s="8">
        <v>13</v>
      </c>
      <c r="B14" s="9">
        <v>32</v>
      </c>
      <c r="C14" s="9">
        <v>13</v>
      </c>
      <c r="D14" s="9">
        <v>13</v>
      </c>
      <c r="E14" s="9">
        <v>12</v>
      </c>
      <c r="F14" s="10">
        <f t="shared" si="0"/>
        <v>4.6500000000000004</v>
      </c>
      <c r="G14" s="9">
        <v>4</v>
      </c>
      <c r="H14" s="9">
        <v>5</v>
      </c>
      <c r="I14" s="9">
        <v>5</v>
      </c>
      <c r="J14" s="9">
        <v>5</v>
      </c>
      <c r="K14" s="11" t="s">
        <v>423</v>
      </c>
      <c r="L14" s="11" t="s">
        <v>458</v>
      </c>
      <c r="M14" s="11" t="s">
        <v>459</v>
      </c>
      <c r="N14" s="11" t="s">
        <v>114</v>
      </c>
      <c r="O14" s="11" t="s">
        <v>375</v>
      </c>
      <c r="P14" s="11" t="s">
        <v>376</v>
      </c>
      <c r="Q14" s="11" t="s">
        <v>32</v>
      </c>
      <c r="R14" s="11" t="s">
        <v>460</v>
      </c>
      <c r="S14" s="11" t="s">
        <v>461</v>
      </c>
      <c r="T14" s="11" t="s">
        <v>35</v>
      </c>
      <c r="U14" s="11" t="s">
        <v>462</v>
      </c>
      <c r="V14" s="11" t="s">
        <v>380</v>
      </c>
      <c r="W14" s="11" t="s">
        <v>381</v>
      </c>
      <c r="X14" s="11" t="s">
        <v>462</v>
      </c>
      <c r="Y14" s="11" t="s">
        <v>382</v>
      </c>
      <c r="Z14" s="11" t="s">
        <v>119</v>
      </c>
      <c r="AA14" s="11" t="s">
        <v>120</v>
      </c>
    </row>
    <row r="15" spans="1:27">
      <c r="A15" s="12">
        <v>14</v>
      </c>
      <c r="B15" s="13">
        <v>33</v>
      </c>
      <c r="C15" s="13">
        <v>14</v>
      </c>
      <c r="D15" s="13">
        <v>14</v>
      </c>
      <c r="E15" s="13">
        <v>13</v>
      </c>
      <c r="F15" s="14">
        <f t="shared" si="0"/>
        <v>4.6500000000000004</v>
      </c>
      <c r="G15" s="13">
        <v>4</v>
      </c>
      <c r="H15" s="13">
        <v>5</v>
      </c>
      <c r="I15" s="13">
        <v>5</v>
      </c>
      <c r="J15" s="13">
        <v>5</v>
      </c>
      <c r="K15" s="15" t="s">
        <v>372</v>
      </c>
      <c r="L15" s="15" t="s">
        <v>463</v>
      </c>
      <c r="M15" s="15" t="s">
        <v>464</v>
      </c>
      <c r="N15" s="15" t="s">
        <v>143</v>
      </c>
      <c r="O15" s="15" t="s">
        <v>375</v>
      </c>
      <c r="P15" s="15" t="s">
        <v>376</v>
      </c>
      <c r="Q15" s="15" t="s">
        <v>32</v>
      </c>
      <c r="R15" s="15" t="s">
        <v>465</v>
      </c>
      <c r="S15" s="15" t="s">
        <v>466</v>
      </c>
      <c r="T15" s="15" t="s">
        <v>35</v>
      </c>
      <c r="U15" s="15" t="s">
        <v>467</v>
      </c>
      <c r="V15" s="15" t="s">
        <v>380</v>
      </c>
      <c r="W15" s="15" t="s">
        <v>381</v>
      </c>
      <c r="X15" s="15" t="s">
        <v>467</v>
      </c>
      <c r="Y15" s="15" t="s">
        <v>382</v>
      </c>
      <c r="Z15" s="15" t="s">
        <v>47</v>
      </c>
      <c r="AA15" s="15" t="s">
        <v>48</v>
      </c>
    </row>
    <row r="16" spans="1:27">
      <c r="A16" s="8">
        <v>15</v>
      </c>
      <c r="B16" s="9">
        <v>34</v>
      </c>
      <c r="C16" s="9">
        <v>15</v>
      </c>
      <c r="D16" s="9">
        <v>15</v>
      </c>
      <c r="E16" s="9">
        <v>14</v>
      </c>
      <c r="F16" s="10">
        <f t="shared" si="0"/>
        <v>4.6500000000000004</v>
      </c>
      <c r="G16" s="9">
        <v>4</v>
      </c>
      <c r="H16" s="9">
        <v>5</v>
      </c>
      <c r="I16" s="9">
        <v>5</v>
      </c>
      <c r="J16" s="9">
        <v>5</v>
      </c>
      <c r="K16" s="11" t="s">
        <v>423</v>
      </c>
      <c r="L16" s="11" t="s">
        <v>468</v>
      </c>
      <c r="M16" s="11" t="s">
        <v>469</v>
      </c>
      <c r="N16" s="11" t="s">
        <v>470</v>
      </c>
      <c r="O16" s="11" t="s">
        <v>375</v>
      </c>
      <c r="P16" s="11" t="s">
        <v>376</v>
      </c>
      <c r="Q16" s="11" t="s">
        <v>32</v>
      </c>
      <c r="R16" s="11" t="s">
        <v>471</v>
      </c>
      <c r="S16" s="11" t="s">
        <v>472</v>
      </c>
      <c r="T16" s="11" t="s">
        <v>35</v>
      </c>
      <c r="U16" s="11" t="s">
        <v>473</v>
      </c>
      <c r="V16" s="11" t="s">
        <v>380</v>
      </c>
      <c r="W16" s="11" t="s">
        <v>381</v>
      </c>
      <c r="X16" s="11" t="s">
        <v>473</v>
      </c>
      <c r="Y16" s="11" t="s">
        <v>382</v>
      </c>
      <c r="Z16" s="11" t="s">
        <v>474</v>
      </c>
      <c r="AA16" s="11" t="s">
        <v>475</v>
      </c>
    </row>
    <row r="17" spans="1:27">
      <c r="A17" s="12">
        <v>16</v>
      </c>
      <c r="B17" s="13">
        <v>35</v>
      </c>
      <c r="C17" s="13">
        <v>16</v>
      </c>
      <c r="D17" s="13">
        <v>16</v>
      </c>
      <c r="E17" s="13">
        <v>15</v>
      </c>
      <c r="F17" s="14">
        <f t="shared" si="0"/>
        <v>4.6500000000000004</v>
      </c>
      <c r="G17" s="13">
        <v>4</v>
      </c>
      <c r="H17" s="13">
        <v>5</v>
      </c>
      <c r="I17" s="13">
        <v>5</v>
      </c>
      <c r="J17" s="13">
        <v>5</v>
      </c>
      <c r="K17" s="15" t="s">
        <v>423</v>
      </c>
      <c r="L17" s="15" t="s">
        <v>476</v>
      </c>
      <c r="M17" s="15" t="s">
        <v>477</v>
      </c>
      <c r="N17" s="15" t="s">
        <v>478</v>
      </c>
      <c r="O17" s="15" t="s">
        <v>375</v>
      </c>
      <c r="P17" s="15" t="s">
        <v>376</v>
      </c>
      <c r="Q17" s="15" t="s">
        <v>32</v>
      </c>
      <c r="R17" s="15" t="s">
        <v>479</v>
      </c>
      <c r="S17" s="15" t="s">
        <v>480</v>
      </c>
      <c r="T17" s="15" t="s">
        <v>35</v>
      </c>
      <c r="U17" s="15" t="s">
        <v>481</v>
      </c>
      <c r="V17" s="15" t="s">
        <v>380</v>
      </c>
      <c r="W17" s="15" t="s">
        <v>381</v>
      </c>
      <c r="X17" s="15" t="s">
        <v>481</v>
      </c>
      <c r="Y17" s="15" t="s">
        <v>382</v>
      </c>
      <c r="Z17" s="15" t="s">
        <v>482</v>
      </c>
      <c r="AA17" s="15" t="s">
        <v>180</v>
      </c>
    </row>
    <row r="18" spans="1:27">
      <c r="A18" s="8">
        <v>17</v>
      </c>
      <c r="B18" s="9">
        <v>36</v>
      </c>
      <c r="C18" s="9">
        <v>17</v>
      </c>
      <c r="D18" s="9">
        <v>17</v>
      </c>
      <c r="E18" s="9">
        <v>16</v>
      </c>
      <c r="F18" s="10">
        <f t="shared" si="0"/>
        <v>4.6500000000000004</v>
      </c>
      <c r="G18" s="9">
        <v>4</v>
      </c>
      <c r="H18" s="9">
        <v>5</v>
      </c>
      <c r="I18" s="9">
        <v>5</v>
      </c>
      <c r="J18" s="9">
        <v>5</v>
      </c>
      <c r="K18" s="11" t="s">
        <v>423</v>
      </c>
      <c r="L18" s="11" t="s">
        <v>483</v>
      </c>
      <c r="M18" s="11" t="s">
        <v>484</v>
      </c>
      <c r="N18" s="11" t="s">
        <v>485</v>
      </c>
      <c r="O18" s="11" t="s">
        <v>375</v>
      </c>
      <c r="P18" s="11" t="s">
        <v>376</v>
      </c>
      <c r="Q18" s="11" t="s">
        <v>32</v>
      </c>
      <c r="R18" s="11" t="s">
        <v>486</v>
      </c>
      <c r="S18" s="11" t="s">
        <v>487</v>
      </c>
      <c r="T18" s="11" t="s">
        <v>35</v>
      </c>
      <c r="U18" s="11" t="s">
        <v>488</v>
      </c>
      <c r="V18" s="11" t="s">
        <v>380</v>
      </c>
      <c r="W18" s="11" t="s">
        <v>381</v>
      </c>
      <c r="X18" s="11" t="s">
        <v>488</v>
      </c>
      <c r="Y18" s="11" t="s">
        <v>382</v>
      </c>
      <c r="Z18" s="11" t="s">
        <v>489</v>
      </c>
      <c r="AA18" s="11" t="s">
        <v>180</v>
      </c>
    </row>
    <row r="19" spans="1:27">
      <c r="A19" s="12">
        <v>18</v>
      </c>
      <c r="B19" s="13">
        <v>37</v>
      </c>
      <c r="C19" s="13">
        <v>18</v>
      </c>
      <c r="D19" s="13">
        <v>18</v>
      </c>
      <c r="E19" s="13">
        <v>17</v>
      </c>
      <c r="F19" s="14">
        <f t="shared" si="0"/>
        <v>4.6500000000000004</v>
      </c>
      <c r="G19" s="13">
        <v>4</v>
      </c>
      <c r="H19" s="13">
        <v>5</v>
      </c>
      <c r="I19" s="13">
        <v>5</v>
      </c>
      <c r="J19" s="13">
        <v>5</v>
      </c>
      <c r="K19" s="15" t="s">
        <v>423</v>
      </c>
      <c r="L19" s="15" t="s">
        <v>490</v>
      </c>
      <c r="M19" s="15" t="s">
        <v>491</v>
      </c>
      <c r="N19" s="15" t="s">
        <v>492</v>
      </c>
      <c r="O19" s="15" t="s">
        <v>375</v>
      </c>
      <c r="P19" s="15" t="s">
        <v>376</v>
      </c>
      <c r="Q19" s="15" t="s">
        <v>32</v>
      </c>
      <c r="R19" s="15" t="s">
        <v>493</v>
      </c>
      <c r="S19" s="15" t="s">
        <v>494</v>
      </c>
      <c r="T19" s="15" t="s">
        <v>35</v>
      </c>
      <c r="U19" s="15" t="s">
        <v>495</v>
      </c>
      <c r="V19" s="15" t="s">
        <v>380</v>
      </c>
      <c r="W19" s="15" t="s">
        <v>381</v>
      </c>
      <c r="X19" s="15" t="s">
        <v>495</v>
      </c>
      <c r="Y19" s="15" t="s">
        <v>382</v>
      </c>
      <c r="Z19" s="15" t="s">
        <v>179</v>
      </c>
      <c r="AA19" s="15" t="s">
        <v>180</v>
      </c>
    </row>
    <row r="20" spans="1:27">
      <c r="A20" s="8">
        <v>19</v>
      </c>
      <c r="B20" s="9">
        <v>38</v>
      </c>
      <c r="C20" s="9">
        <v>19</v>
      </c>
      <c r="D20" s="9">
        <v>19</v>
      </c>
      <c r="E20" s="9">
        <v>18</v>
      </c>
      <c r="F20" s="10">
        <f t="shared" si="0"/>
        <v>4.6500000000000004</v>
      </c>
      <c r="G20" s="9">
        <v>4</v>
      </c>
      <c r="H20" s="9">
        <v>5</v>
      </c>
      <c r="I20" s="9">
        <v>5</v>
      </c>
      <c r="J20" s="9">
        <v>5</v>
      </c>
      <c r="K20" s="11" t="s">
        <v>372</v>
      </c>
      <c r="L20" s="11" t="s">
        <v>496</v>
      </c>
      <c r="M20" s="11" t="s">
        <v>405</v>
      </c>
      <c r="N20" s="11" t="s">
        <v>497</v>
      </c>
      <c r="O20" s="11" t="s">
        <v>375</v>
      </c>
      <c r="P20" s="11" t="s">
        <v>376</v>
      </c>
      <c r="Q20" s="11" t="s">
        <v>32</v>
      </c>
      <c r="R20" s="11" t="s">
        <v>498</v>
      </c>
      <c r="S20" s="11" t="s">
        <v>499</v>
      </c>
      <c r="T20" s="11" t="s">
        <v>35</v>
      </c>
      <c r="U20" s="11" t="s">
        <v>500</v>
      </c>
      <c r="V20" s="11" t="s">
        <v>380</v>
      </c>
      <c r="W20" s="11" t="s">
        <v>381</v>
      </c>
      <c r="X20" s="11" t="s">
        <v>500</v>
      </c>
      <c r="Y20" s="11" t="s">
        <v>382</v>
      </c>
      <c r="Z20" s="11" t="s">
        <v>410</v>
      </c>
      <c r="AA20" s="11" t="s">
        <v>65</v>
      </c>
    </row>
    <row r="21" spans="1:27">
      <c r="A21" s="12">
        <v>20</v>
      </c>
      <c r="B21" s="13">
        <v>39</v>
      </c>
      <c r="C21" s="13">
        <v>20</v>
      </c>
      <c r="D21" s="13">
        <v>20</v>
      </c>
      <c r="E21" s="13">
        <v>19</v>
      </c>
      <c r="F21" s="14">
        <f t="shared" si="0"/>
        <v>4.6500000000000004</v>
      </c>
      <c r="G21" s="13">
        <v>4</v>
      </c>
      <c r="H21" s="13">
        <v>5</v>
      </c>
      <c r="I21" s="13">
        <v>5</v>
      </c>
      <c r="J21" s="13">
        <v>5</v>
      </c>
      <c r="K21" s="15" t="s">
        <v>372</v>
      </c>
      <c r="L21" s="15" t="s">
        <v>501</v>
      </c>
      <c r="M21" s="15" t="s">
        <v>502</v>
      </c>
      <c r="N21" s="15" t="s">
        <v>503</v>
      </c>
      <c r="O21" s="15" t="s">
        <v>375</v>
      </c>
      <c r="P21" s="15" t="s">
        <v>376</v>
      </c>
      <c r="Q21" s="15" t="s">
        <v>32</v>
      </c>
      <c r="R21" s="15" t="s">
        <v>504</v>
      </c>
      <c r="S21" s="15" t="s">
        <v>505</v>
      </c>
      <c r="T21" s="15" t="s">
        <v>35</v>
      </c>
      <c r="U21" s="15" t="s">
        <v>506</v>
      </c>
      <c r="V21" s="15" t="s">
        <v>380</v>
      </c>
      <c r="W21" s="15" t="s">
        <v>381</v>
      </c>
      <c r="X21" s="15" t="s">
        <v>506</v>
      </c>
      <c r="Y21" s="15" t="s">
        <v>382</v>
      </c>
      <c r="Z21" s="15" t="s">
        <v>410</v>
      </c>
      <c r="AA21" s="15" t="s">
        <v>65</v>
      </c>
    </row>
    <row r="22" spans="1:27">
      <c r="A22" s="8">
        <v>21</v>
      </c>
      <c r="B22" s="9">
        <v>40</v>
      </c>
      <c r="C22" s="9">
        <v>21</v>
      </c>
      <c r="D22" s="9">
        <v>21</v>
      </c>
      <c r="E22" s="9">
        <v>20</v>
      </c>
      <c r="F22" s="10">
        <f t="shared" si="0"/>
        <v>4.6500000000000004</v>
      </c>
      <c r="G22" s="9">
        <v>4</v>
      </c>
      <c r="H22" s="9">
        <v>5</v>
      </c>
      <c r="I22" s="9">
        <v>5</v>
      </c>
      <c r="J22" s="9">
        <v>5</v>
      </c>
      <c r="K22" s="11" t="s">
        <v>372</v>
      </c>
      <c r="L22" s="11" t="s">
        <v>507</v>
      </c>
      <c r="M22" s="11" t="s">
        <v>502</v>
      </c>
      <c r="N22" s="11" t="s">
        <v>508</v>
      </c>
      <c r="O22" s="11" t="s">
        <v>375</v>
      </c>
      <c r="P22" s="11" t="s">
        <v>376</v>
      </c>
      <c r="Q22" s="11" t="s">
        <v>32</v>
      </c>
      <c r="R22" s="11" t="s">
        <v>509</v>
      </c>
      <c r="S22" s="11" t="s">
        <v>510</v>
      </c>
      <c r="T22" s="11" t="s">
        <v>35</v>
      </c>
      <c r="U22" s="11" t="s">
        <v>511</v>
      </c>
      <c r="V22" s="11" t="s">
        <v>380</v>
      </c>
      <c r="W22" s="11" t="s">
        <v>381</v>
      </c>
      <c r="X22" s="11" t="s">
        <v>511</v>
      </c>
      <c r="Y22" s="11" t="s">
        <v>382</v>
      </c>
      <c r="Z22" s="11" t="s">
        <v>410</v>
      </c>
      <c r="AA22" s="11" t="s">
        <v>65</v>
      </c>
    </row>
    <row r="23" spans="1:27">
      <c r="A23" s="12">
        <v>22</v>
      </c>
      <c r="B23" s="13">
        <v>41</v>
      </c>
      <c r="C23" s="13">
        <v>22</v>
      </c>
      <c r="D23" s="13">
        <v>22</v>
      </c>
      <c r="E23" s="13">
        <v>21</v>
      </c>
      <c r="F23" s="14">
        <f t="shared" si="0"/>
        <v>4.6500000000000004</v>
      </c>
      <c r="G23" s="13">
        <v>4</v>
      </c>
      <c r="H23" s="13">
        <v>5</v>
      </c>
      <c r="I23" s="13">
        <v>5</v>
      </c>
      <c r="J23" s="13">
        <v>5</v>
      </c>
      <c r="K23" s="15" t="s">
        <v>372</v>
      </c>
      <c r="L23" s="15" t="s">
        <v>512</v>
      </c>
      <c r="M23" s="15" t="s">
        <v>405</v>
      </c>
      <c r="N23" s="15" t="s">
        <v>513</v>
      </c>
      <c r="O23" s="15" t="s">
        <v>375</v>
      </c>
      <c r="P23" s="15" t="s">
        <v>376</v>
      </c>
      <c r="Q23" s="15" t="s">
        <v>32</v>
      </c>
      <c r="R23" s="15" t="s">
        <v>514</v>
      </c>
      <c r="S23" s="15" t="s">
        <v>515</v>
      </c>
      <c r="T23" s="15" t="s">
        <v>35</v>
      </c>
      <c r="U23" s="15" t="s">
        <v>516</v>
      </c>
      <c r="V23" s="15" t="s">
        <v>380</v>
      </c>
      <c r="W23" s="15" t="s">
        <v>381</v>
      </c>
      <c r="X23" s="15" t="s">
        <v>516</v>
      </c>
      <c r="Y23" s="15" t="s">
        <v>382</v>
      </c>
      <c r="Z23" s="15" t="s">
        <v>410</v>
      </c>
      <c r="AA23" s="15" t="s">
        <v>65</v>
      </c>
    </row>
    <row r="24" spans="1:27">
      <c r="A24" s="8">
        <v>23</v>
      </c>
      <c r="B24" s="9">
        <v>42</v>
      </c>
      <c r="C24" s="9">
        <v>23</v>
      </c>
      <c r="D24" s="9">
        <v>23</v>
      </c>
      <c r="E24" s="9">
        <v>22</v>
      </c>
      <c r="F24" s="10">
        <f t="shared" si="0"/>
        <v>4.6500000000000004</v>
      </c>
      <c r="G24" s="9">
        <v>4</v>
      </c>
      <c r="H24" s="9">
        <v>5</v>
      </c>
      <c r="I24" s="9">
        <v>5</v>
      </c>
      <c r="J24" s="9">
        <v>5</v>
      </c>
      <c r="K24" s="11" t="s">
        <v>423</v>
      </c>
      <c r="L24" s="11" t="s">
        <v>517</v>
      </c>
      <c r="M24" s="11" t="s">
        <v>518</v>
      </c>
      <c r="N24" s="11" t="s">
        <v>519</v>
      </c>
      <c r="O24" s="11" t="s">
        <v>375</v>
      </c>
      <c r="P24" s="11" t="s">
        <v>376</v>
      </c>
      <c r="Q24" s="11" t="s">
        <v>32</v>
      </c>
      <c r="R24" s="11" t="s">
        <v>520</v>
      </c>
      <c r="S24" s="11" t="s">
        <v>521</v>
      </c>
      <c r="T24" s="11" t="s">
        <v>35</v>
      </c>
      <c r="U24" s="11" t="s">
        <v>522</v>
      </c>
      <c r="V24" s="11" t="s">
        <v>380</v>
      </c>
      <c r="W24" s="11" t="s">
        <v>381</v>
      </c>
      <c r="X24" s="11" t="s">
        <v>522</v>
      </c>
      <c r="Y24" s="11" t="s">
        <v>382</v>
      </c>
      <c r="Z24" s="11" t="s">
        <v>523</v>
      </c>
      <c r="AA24" s="11" t="s">
        <v>92</v>
      </c>
    </row>
    <row r="25" spans="1:27">
      <c r="A25" s="12">
        <v>24</v>
      </c>
      <c r="B25" s="13">
        <v>43</v>
      </c>
      <c r="C25" s="13">
        <v>24</v>
      </c>
      <c r="D25" s="13">
        <v>24</v>
      </c>
      <c r="E25" s="13">
        <v>23</v>
      </c>
      <c r="F25" s="14">
        <f t="shared" si="0"/>
        <v>4.6500000000000004</v>
      </c>
      <c r="G25" s="13">
        <v>4</v>
      </c>
      <c r="H25" s="13">
        <v>5</v>
      </c>
      <c r="I25" s="13">
        <v>5</v>
      </c>
      <c r="J25" s="13">
        <v>5</v>
      </c>
      <c r="K25" s="15" t="s">
        <v>423</v>
      </c>
      <c r="L25" s="15" t="s">
        <v>524</v>
      </c>
      <c r="M25" s="15" t="s">
        <v>525</v>
      </c>
      <c r="N25" s="15" t="s">
        <v>526</v>
      </c>
      <c r="O25" s="15" t="s">
        <v>375</v>
      </c>
      <c r="P25" s="15" t="s">
        <v>376</v>
      </c>
      <c r="Q25" s="15" t="s">
        <v>32</v>
      </c>
      <c r="R25" s="15" t="s">
        <v>527</v>
      </c>
      <c r="S25" s="15" t="s">
        <v>528</v>
      </c>
      <c r="T25" s="15" t="s">
        <v>35</v>
      </c>
      <c r="U25" s="15" t="s">
        <v>529</v>
      </c>
      <c r="V25" s="15" t="s">
        <v>380</v>
      </c>
      <c r="W25" s="15" t="s">
        <v>381</v>
      </c>
      <c r="X25" s="15" t="s">
        <v>529</v>
      </c>
      <c r="Y25" s="15" t="s">
        <v>382</v>
      </c>
      <c r="Z25" s="15" t="s">
        <v>530</v>
      </c>
      <c r="AA25" s="15" t="s">
        <v>92</v>
      </c>
    </row>
    <row r="26" spans="1:27">
      <c r="A26" s="8">
        <v>25</v>
      </c>
      <c r="B26" s="9">
        <v>44</v>
      </c>
      <c r="C26" s="9">
        <v>25</v>
      </c>
      <c r="D26" s="9">
        <v>25</v>
      </c>
      <c r="E26" s="9">
        <v>24</v>
      </c>
      <c r="F26" s="10">
        <f t="shared" si="0"/>
        <v>4.6500000000000004</v>
      </c>
      <c r="G26" s="9">
        <v>4</v>
      </c>
      <c r="H26" s="9">
        <v>5</v>
      </c>
      <c r="I26" s="9">
        <v>5</v>
      </c>
      <c r="J26" s="9">
        <v>5</v>
      </c>
      <c r="K26" s="11" t="s">
        <v>423</v>
      </c>
      <c r="L26" s="11" t="s">
        <v>531</v>
      </c>
      <c r="M26" s="11" t="s">
        <v>532</v>
      </c>
      <c r="N26" s="11" t="s">
        <v>533</v>
      </c>
      <c r="O26" s="11" t="s">
        <v>375</v>
      </c>
      <c r="P26" s="11" t="s">
        <v>376</v>
      </c>
      <c r="Q26" s="11" t="s">
        <v>32</v>
      </c>
      <c r="R26" s="11" t="s">
        <v>534</v>
      </c>
      <c r="S26" s="11" t="s">
        <v>535</v>
      </c>
      <c r="T26" s="11" t="s">
        <v>35</v>
      </c>
      <c r="U26" s="11" t="s">
        <v>536</v>
      </c>
      <c r="V26" s="11" t="s">
        <v>380</v>
      </c>
      <c r="W26" s="11" t="s">
        <v>381</v>
      </c>
      <c r="X26" s="11" t="s">
        <v>536</v>
      </c>
      <c r="Y26" s="11" t="s">
        <v>382</v>
      </c>
      <c r="Z26" s="11" t="s">
        <v>537</v>
      </c>
      <c r="AA26" s="11" t="s">
        <v>92</v>
      </c>
    </row>
    <row r="27" spans="1:27">
      <c r="A27" s="12">
        <v>26</v>
      </c>
      <c r="B27" s="13">
        <v>12</v>
      </c>
      <c r="C27" s="13">
        <v>39</v>
      </c>
      <c r="D27" s="13">
        <v>26</v>
      </c>
      <c r="E27" s="13">
        <v>25</v>
      </c>
      <c r="F27" s="14">
        <f t="shared" si="0"/>
        <v>4.6500000000000004</v>
      </c>
      <c r="G27" s="13">
        <v>5</v>
      </c>
      <c r="H27" s="13">
        <v>4</v>
      </c>
      <c r="I27" s="13">
        <v>5</v>
      </c>
      <c r="J27" s="13">
        <v>5</v>
      </c>
      <c r="K27" s="15" t="s">
        <v>423</v>
      </c>
      <c r="L27" s="15" t="s">
        <v>538</v>
      </c>
      <c r="M27" s="15" t="s">
        <v>539</v>
      </c>
      <c r="N27" s="15" t="s">
        <v>540</v>
      </c>
      <c r="O27" s="15" t="s">
        <v>375</v>
      </c>
      <c r="P27" s="15" t="s">
        <v>376</v>
      </c>
      <c r="Q27" s="15" t="s">
        <v>32</v>
      </c>
      <c r="R27" s="15" t="s">
        <v>541</v>
      </c>
      <c r="S27" s="15" t="s">
        <v>542</v>
      </c>
      <c r="T27" s="15" t="s">
        <v>88</v>
      </c>
      <c r="U27" s="15" t="s">
        <v>543</v>
      </c>
      <c r="V27" s="15" t="s">
        <v>380</v>
      </c>
      <c r="W27" s="15" t="s">
        <v>381</v>
      </c>
      <c r="X27" s="15" t="s">
        <v>543</v>
      </c>
      <c r="Y27" s="15" t="s">
        <v>382</v>
      </c>
      <c r="Z27" s="15" t="s">
        <v>544</v>
      </c>
      <c r="AA27" s="15" t="s">
        <v>128</v>
      </c>
    </row>
    <row r="28" spans="1:27">
      <c r="A28" s="8">
        <v>27</v>
      </c>
      <c r="B28" s="9">
        <v>13</v>
      </c>
      <c r="C28" s="9">
        <v>40</v>
      </c>
      <c r="D28" s="9">
        <v>27</v>
      </c>
      <c r="E28" s="9">
        <v>26</v>
      </c>
      <c r="F28" s="10">
        <f t="shared" si="0"/>
        <v>4.6500000000000004</v>
      </c>
      <c r="G28" s="9">
        <v>5</v>
      </c>
      <c r="H28" s="9">
        <v>4</v>
      </c>
      <c r="I28" s="9">
        <v>5</v>
      </c>
      <c r="J28" s="9">
        <v>5</v>
      </c>
      <c r="K28" s="11" t="s">
        <v>423</v>
      </c>
      <c r="L28" s="11" t="s">
        <v>545</v>
      </c>
      <c r="M28" s="11" t="s">
        <v>546</v>
      </c>
      <c r="N28" s="11" t="s">
        <v>547</v>
      </c>
      <c r="O28" s="11" t="s">
        <v>375</v>
      </c>
      <c r="P28" s="11" t="s">
        <v>376</v>
      </c>
      <c r="Q28" s="11" t="s">
        <v>32</v>
      </c>
      <c r="R28" s="11" t="s">
        <v>548</v>
      </c>
      <c r="S28" s="11" t="s">
        <v>549</v>
      </c>
      <c r="T28" s="11" t="s">
        <v>88</v>
      </c>
      <c r="U28" s="11" t="s">
        <v>550</v>
      </c>
      <c r="V28" s="11" t="s">
        <v>380</v>
      </c>
      <c r="W28" s="11" t="s">
        <v>381</v>
      </c>
      <c r="X28" s="11" t="s">
        <v>550</v>
      </c>
      <c r="Y28" s="11" t="s">
        <v>382</v>
      </c>
      <c r="Z28" s="11" t="s">
        <v>551</v>
      </c>
      <c r="AA28" s="11" t="s">
        <v>246</v>
      </c>
    </row>
    <row r="29" spans="1:27">
      <c r="A29" s="12">
        <v>28</v>
      </c>
      <c r="B29" s="13">
        <v>45</v>
      </c>
      <c r="C29" s="13">
        <v>26</v>
      </c>
      <c r="D29" s="13">
        <v>28</v>
      </c>
      <c r="E29" s="13">
        <v>69</v>
      </c>
      <c r="F29" s="14">
        <f t="shared" si="0"/>
        <v>4.55</v>
      </c>
      <c r="G29" s="13">
        <v>4</v>
      </c>
      <c r="H29" s="13">
        <v>5</v>
      </c>
      <c r="I29" s="13">
        <v>5</v>
      </c>
      <c r="J29" s="13">
        <v>4</v>
      </c>
      <c r="K29" s="15" t="s">
        <v>423</v>
      </c>
      <c r="L29" s="15" t="s">
        <v>552</v>
      </c>
      <c r="M29" s="15" t="s">
        <v>553</v>
      </c>
      <c r="N29" s="15" t="s">
        <v>554</v>
      </c>
      <c r="O29" s="15" t="s">
        <v>375</v>
      </c>
      <c r="P29" s="15" t="s">
        <v>376</v>
      </c>
      <c r="Q29" s="15" t="s">
        <v>32</v>
      </c>
      <c r="R29" s="15" t="s">
        <v>555</v>
      </c>
      <c r="S29" s="15" t="s">
        <v>556</v>
      </c>
      <c r="T29" s="15" t="s">
        <v>35</v>
      </c>
      <c r="U29" s="15" t="s">
        <v>557</v>
      </c>
      <c r="V29" s="15" t="s">
        <v>380</v>
      </c>
      <c r="W29" s="15" t="s">
        <v>381</v>
      </c>
      <c r="X29" s="15" t="s">
        <v>557</v>
      </c>
      <c r="Y29" s="15" t="s">
        <v>382</v>
      </c>
      <c r="Z29" s="15" t="s">
        <v>558</v>
      </c>
      <c r="AA29" s="15" t="s">
        <v>559</v>
      </c>
    </row>
    <row r="30" spans="1:27">
      <c r="A30" s="8">
        <v>29</v>
      </c>
      <c r="B30" s="9">
        <v>46</v>
      </c>
      <c r="C30" s="9">
        <v>27</v>
      </c>
      <c r="D30" s="9">
        <v>29</v>
      </c>
      <c r="E30" s="9">
        <v>70</v>
      </c>
      <c r="F30" s="10">
        <f t="shared" si="0"/>
        <v>4.55</v>
      </c>
      <c r="G30" s="9">
        <v>4</v>
      </c>
      <c r="H30" s="9">
        <v>5</v>
      </c>
      <c r="I30" s="9">
        <v>5</v>
      </c>
      <c r="J30" s="9">
        <v>4</v>
      </c>
      <c r="K30" s="11" t="s">
        <v>423</v>
      </c>
      <c r="L30" s="11" t="s">
        <v>560</v>
      </c>
      <c r="M30" s="11" t="s">
        <v>561</v>
      </c>
      <c r="N30" s="11" t="s">
        <v>562</v>
      </c>
      <c r="O30" s="11" t="s">
        <v>375</v>
      </c>
      <c r="P30" s="11" t="s">
        <v>376</v>
      </c>
      <c r="Q30" s="11" t="s">
        <v>32</v>
      </c>
      <c r="R30" s="11" t="s">
        <v>563</v>
      </c>
      <c r="S30" s="11" t="s">
        <v>564</v>
      </c>
      <c r="T30" s="11" t="s">
        <v>35</v>
      </c>
      <c r="U30" s="11" t="s">
        <v>565</v>
      </c>
      <c r="V30" s="11" t="s">
        <v>380</v>
      </c>
      <c r="W30" s="11" t="s">
        <v>381</v>
      </c>
      <c r="X30" s="11" t="s">
        <v>565</v>
      </c>
      <c r="Y30" s="11" t="s">
        <v>382</v>
      </c>
      <c r="Z30" s="11" t="s">
        <v>566</v>
      </c>
      <c r="AA30" s="11" t="s">
        <v>92</v>
      </c>
    </row>
    <row r="31" spans="1:27">
      <c r="A31" s="12">
        <v>30</v>
      </c>
      <c r="B31" s="13">
        <v>47</v>
      </c>
      <c r="C31" s="13">
        <v>28</v>
      </c>
      <c r="D31" s="13">
        <v>30</v>
      </c>
      <c r="E31" s="13">
        <v>71</v>
      </c>
      <c r="F31" s="14">
        <f t="shared" si="0"/>
        <v>4.55</v>
      </c>
      <c r="G31" s="13">
        <v>4</v>
      </c>
      <c r="H31" s="13">
        <v>5</v>
      </c>
      <c r="I31" s="13">
        <v>5</v>
      </c>
      <c r="J31" s="13">
        <v>4</v>
      </c>
      <c r="K31" s="15" t="s">
        <v>423</v>
      </c>
      <c r="L31" s="15" t="s">
        <v>567</v>
      </c>
      <c r="M31" s="15" t="s">
        <v>568</v>
      </c>
      <c r="N31" s="15" t="s">
        <v>569</v>
      </c>
      <c r="O31" s="15" t="s">
        <v>375</v>
      </c>
      <c r="P31" s="15" t="s">
        <v>376</v>
      </c>
      <c r="Q31" s="15" t="s">
        <v>32</v>
      </c>
      <c r="R31" s="15" t="s">
        <v>570</v>
      </c>
      <c r="S31" s="15" t="s">
        <v>571</v>
      </c>
      <c r="T31" s="15" t="s">
        <v>35</v>
      </c>
      <c r="U31" s="15" t="s">
        <v>572</v>
      </c>
      <c r="V31" s="15" t="s">
        <v>380</v>
      </c>
      <c r="W31" s="15" t="s">
        <v>381</v>
      </c>
      <c r="X31" s="15" t="s">
        <v>572</v>
      </c>
      <c r="Y31" s="15" t="s">
        <v>382</v>
      </c>
      <c r="Z31" s="15" t="s">
        <v>573</v>
      </c>
      <c r="AA31" s="15" t="s">
        <v>574</v>
      </c>
    </row>
    <row r="32" spans="1:27">
      <c r="A32" s="8">
        <v>31</v>
      </c>
      <c r="B32" s="9">
        <v>48</v>
      </c>
      <c r="C32" s="9">
        <v>29</v>
      </c>
      <c r="D32" s="9">
        <v>31</v>
      </c>
      <c r="E32" s="9">
        <v>72</v>
      </c>
      <c r="F32" s="10">
        <f t="shared" si="0"/>
        <v>4.55</v>
      </c>
      <c r="G32" s="9">
        <v>4</v>
      </c>
      <c r="H32" s="9">
        <v>5</v>
      </c>
      <c r="I32" s="9">
        <v>5</v>
      </c>
      <c r="J32" s="9">
        <v>4</v>
      </c>
      <c r="K32" s="11" t="s">
        <v>372</v>
      </c>
      <c r="L32" s="11" t="s">
        <v>575</v>
      </c>
      <c r="M32" s="11" t="s">
        <v>576</v>
      </c>
      <c r="N32" s="11" t="s">
        <v>577</v>
      </c>
      <c r="O32" s="11" t="s">
        <v>375</v>
      </c>
      <c r="P32" s="11" t="s">
        <v>376</v>
      </c>
      <c r="Q32" s="11" t="s">
        <v>32</v>
      </c>
      <c r="R32" s="11" t="s">
        <v>578</v>
      </c>
      <c r="S32" s="11" t="s">
        <v>579</v>
      </c>
      <c r="T32" s="11" t="s">
        <v>35</v>
      </c>
      <c r="U32" s="11" t="s">
        <v>580</v>
      </c>
      <c r="V32" s="11" t="s">
        <v>380</v>
      </c>
      <c r="W32" s="11" t="s">
        <v>381</v>
      </c>
      <c r="X32" s="11" t="s">
        <v>580</v>
      </c>
      <c r="Y32" s="11" t="s">
        <v>382</v>
      </c>
      <c r="Z32" s="11" t="s">
        <v>581</v>
      </c>
      <c r="AA32" s="11" t="s">
        <v>57</v>
      </c>
    </row>
    <row r="33" spans="1:27">
      <c r="A33" s="12">
        <v>32</v>
      </c>
      <c r="B33" s="13">
        <v>49</v>
      </c>
      <c r="C33" s="13">
        <v>30</v>
      </c>
      <c r="D33" s="13">
        <v>32</v>
      </c>
      <c r="E33" s="13">
        <v>73</v>
      </c>
      <c r="F33" s="14">
        <f t="shared" si="0"/>
        <v>4.55</v>
      </c>
      <c r="G33" s="13">
        <v>4</v>
      </c>
      <c r="H33" s="13">
        <v>5</v>
      </c>
      <c r="I33" s="13">
        <v>5</v>
      </c>
      <c r="J33" s="13">
        <v>4</v>
      </c>
      <c r="K33" s="15" t="s">
        <v>372</v>
      </c>
      <c r="L33" s="15" t="s">
        <v>582</v>
      </c>
      <c r="M33" s="15" t="s">
        <v>583</v>
      </c>
      <c r="N33" s="15" t="s">
        <v>584</v>
      </c>
      <c r="O33" s="15" t="s">
        <v>375</v>
      </c>
      <c r="P33" s="15" t="s">
        <v>376</v>
      </c>
      <c r="Q33" s="15" t="s">
        <v>32</v>
      </c>
      <c r="R33" s="15" t="s">
        <v>585</v>
      </c>
      <c r="S33" s="15" t="s">
        <v>586</v>
      </c>
      <c r="T33" s="15" t="s">
        <v>35</v>
      </c>
      <c r="U33" s="15" t="s">
        <v>587</v>
      </c>
      <c r="V33" s="15" t="s">
        <v>380</v>
      </c>
      <c r="W33" s="15" t="s">
        <v>381</v>
      </c>
      <c r="X33" s="15" t="s">
        <v>587</v>
      </c>
      <c r="Y33" s="15" t="s">
        <v>382</v>
      </c>
      <c r="Z33" s="15" t="s">
        <v>410</v>
      </c>
      <c r="AA33" s="15" t="s">
        <v>65</v>
      </c>
    </row>
    <row r="34" spans="1:27">
      <c r="A34" s="8">
        <v>33</v>
      </c>
      <c r="B34" s="9">
        <v>50</v>
      </c>
      <c r="C34" s="9">
        <v>31</v>
      </c>
      <c r="D34" s="9">
        <v>33</v>
      </c>
      <c r="E34" s="9">
        <v>74</v>
      </c>
      <c r="F34" s="10">
        <f t="shared" si="0"/>
        <v>4.55</v>
      </c>
      <c r="G34" s="9">
        <v>4</v>
      </c>
      <c r="H34" s="9">
        <v>5</v>
      </c>
      <c r="I34" s="9">
        <v>5</v>
      </c>
      <c r="J34" s="9">
        <v>4</v>
      </c>
      <c r="K34" s="11" t="s">
        <v>423</v>
      </c>
      <c r="L34" s="11" t="s">
        <v>588</v>
      </c>
      <c r="M34" s="11" t="s">
        <v>589</v>
      </c>
      <c r="N34" s="11" t="s">
        <v>590</v>
      </c>
      <c r="O34" s="11" t="s">
        <v>375</v>
      </c>
      <c r="P34" s="11" t="s">
        <v>376</v>
      </c>
      <c r="Q34" s="11" t="s">
        <v>32</v>
      </c>
      <c r="R34" s="11" t="s">
        <v>591</v>
      </c>
      <c r="S34" s="11" t="s">
        <v>592</v>
      </c>
      <c r="T34" s="11" t="s">
        <v>35</v>
      </c>
      <c r="U34" s="11" t="s">
        <v>593</v>
      </c>
      <c r="V34" s="11" t="s">
        <v>380</v>
      </c>
      <c r="W34" s="11" t="s">
        <v>381</v>
      </c>
      <c r="X34" s="11" t="s">
        <v>593</v>
      </c>
      <c r="Y34" s="11" t="s">
        <v>382</v>
      </c>
      <c r="Z34" s="11" t="s">
        <v>594</v>
      </c>
      <c r="AA34" s="11" t="s">
        <v>92</v>
      </c>
    </row>
    <row r="35" spans="1:27">
      <c r="A35" s="12">
        <v>34</v>
      </c>
      <c r="B35" s="13">
        <v>51</v>
      </c>
      <c r="C35" s="13">
        <v>32</v>
      </c>
      <c r="D35" s="13">
        <v>34</v>
      </c>
      <c r="E35" s="13">
        <v>75</v>
      </c>
      <c r="F35" s="14">
        <f t="shared" si="0"/>
        <v>4.55</v>
      </c>
      <c r="G35" s="13">
        <v>4</v>
      </c>
      <c r="H35" s="13">
        <v>5</v>
      </c>
      <c r="I35" s="13">
        <v>5</v>
      </c>
      <c r="J35" s="13">
        <v>4</v>
      </c>
      <c r="K35" s="15" t="s">
        <v>423</v>
      </c>
      <c r="L35" s="15" t="s">
        <v>595</v>
      </c>
      <c r="M35" s="15" t="s">
        <v>596</v>
      </c>
      <c r="N35" s="15" t="s">
        <v>597</v>
      </c>
      <c r="O35" s="15" t="s">
        <v>375</v>
      </c>
      <c r="P35" s="15" t="s">
        <v>376</v>
      </c>
      <c r="Q35" s="15" t="s">
        <v>32</v>
      </c>
      <c r="R35" s="15" t="s">
        <v>598</v>
      </c>
      <c r="S35" s="15" t="s">
        <v>599</v>
      </c>
      <c r="T35" s="15" t="s">
        <v>35</v>
      </c>
      <c r="U35" s="15" t="s">
        <v>600</v>
      </c>
      <c r="V35" s="15" t="s">
        <v>380</v>
      </c>
      <c r="W35" s="15" t="s">
        <v>381</v>
      </c>
      <c r="X35" s="15" t="s">
        <v>600</v>
      </c>
      <c r="Y35" s="15" t="s">
        <v>382</v>
      </c>
      <c r="Z35" s="15" t="s">
        <v>601</v>
      </c>
      <c r="AA35" s="15" t="s">
        <v>92</v>
      </c>
    </row>
    <row r="36" spans="1:27">
      <c r="A36" s="8">
        <v>35</v>
      </c>
      <c r="B36" s="9">
        <v>52</v>
      </c>
      <c r="C36" s="9">
        <v>33</v>
      </c>
      <c r="D36" s="9">
        <v>50</v>
      </c>
      <c r="E36" s="9">
        <v>27</v>
      </c>
      <c r="F36" s="10">
        <f t="shared" si="0"/>
        <v>4.45</v>
      </c>
      <c r="G36" s="9">
        <v>4</v>
      </c>
      <c r="H36" s="9">
        <v>5</v>
      </c>
      <c r="I36" s="9">
        <v>4</v>
      </c>
      <c r="J36" s="9">
        <v>5</v>
      </c>
      <c r="K36" s="11" t="s">
        <v>372</v>
      </c>
      <c r="L36" s="11" t="s">
        <v>602</v>
      </c>
      <c r="M36" s="11" t="s">
        <v>603</v>
      </c>
      <c r="N36" s="11" t="s">
        <v>604</v>
      </c>
      <c r="O36" s="11" t="s">
        <v>375</v>
      </c>
      <c r="P36" s="11" t="s">
        <v>376</v>
      </c>
      <c r="Q36" s="11" t="s">
        <v>32</v>
      </c>
      <c r="R36" s="11" t="s">
        <v>605</v>
      </c>
      <c r="S36" s="11" t="s">
        <v>606</v>
      </c>
      <c r="T36" s="11" t="s">
        <v>35</v>
      </c>
      <c r="U36" s="11" t="s">
        <v>607</v>
      </c>
      <c r="V36" s="11" t="s">
        <v>380</v>
      </c>
      <c r="W36" s="11" t="s">
        <v>381</v>
      </c>
      <c r="X36" s="11" t="s">
        <v>607</v>
      </c>
      <c r="Y36" s="11" t="s">
        <v>382</v>
      </c>
      <c r="Z36" s="11" t="s">
        <v>457</v>
      </c>
      <c r="AA36" s="11" t="s">
        <v>41</v>
      </c>
    </row>
    <row r="37" spans="1:27">
      <c r="A37" s="12">
        <v>36</v>
      </c>
      <c r="B37" s="13">
        <v>14</v>
      </c>
      <c r="C37" s="13">
        <v>41</v>
      </c>
      <c r="D37" s="13">
        <v>51</v>
      </c>
      <c r="E37" s="13">
        <v>28</v>
      </c>
      <c r="F37" s="14">
        <f t="shared" si="0"/>
        <v>4.45</v>
      </c>
      <c r="G37" s="13">
        <v>5</v>
      </c>
      <c r="H37" s="13">
        <v>4</v>
      </c>
      <c r="I37" s="13">
        <v>4</v>
      </c>
      <c r="J37" s="13">
        <v>5</v>
      </c>
      <c r="K37" s="15" t="s">
        <v>423</v>
      </c>
      <c r="L37" s="15" t="s">
        <v>608</v>
      </c>
      <c r="M37" s="15" t="s">
        <v>609</v>
      </c>
      <c r="N37" s="15" t="s">
        <v>610</v>
      </c>
      <c r="O37" s="15" t="s">
        <v>375</v>
      </c>
      <c r="P37" s="15" t="s">
        <v>376</v>
      </c>
      <c r="Q37" s="15" t="s">
        <v>32</v>
      </c>
      <c r="R37" s="15" t="s">
        <v>611</v>
      </c>
      <c r="S37" s="15" t="s">
        <v>612</v>
      </c>
      <c r="T37" s="15" t="s">
        <v>88</v>
      </c>
      <c r="U37" s="15" t="s">
        <v>613</v>
      </c>
      <c r="V37" s="15" t="s">
        <v>380</v>
      </c>
      <c r="W37" s="15" t="s">
        <v>381</v>
      </c>
      <c r="X37" s="15" t="s">
        <v>613</v>
      </c>
      <c r="Y37" s="15" t="s">
        <v>382</v>
      </c>
      <c r="Z37" s="15" t="s">
        <v>99</v>
      </c>
      <c r="AA37" s="15" t="s">
        <v>100</v>
      </c>
    </row>
    <row r="38" spans="1:27">
      <c r="A38" s="8">
        <v>37</v>
      </c>
      <c r="B38" s="9">
        <v>15</v>
      </c>
      <c r="C38" s="9">
        <v>42</v>
      </c>
      <c r="D38" s="9">
        <v>52</v>
      </c>
      <c r="E38" s="9">
        <v>29</v>
      </c>
      <c r="F38" s="10">
        <f t="shared" si="0"/>
        <v>4.45</v>
      </c>
      <c r="G38" s="9">
        <v>5</v>
      </c>
      <c r="H38" s="9">
        <v>4</v>
      </c>
      <c r="I38" s="9">
        <v>4</v>
      </c>
      <c r="J38" s="9">
        <v>5</v>
      </c>
      <c r="K38" s="11" t="s">
        <v>372</v>
      </c>
      <c r="L38" s="11" t="s">
        <v>614</v>
      </c>
      <c r="M38" s="11" t="s">
        <v>615</v>
      </c>
      <c r="N38" s="11" t="s">
        <v>616</v>
      </c>
      <c r="O38" s="11" t="s">
        <v>375</v>
      </c>
      <c r="P38" s="11" t="s">
        <v>376</v>
      </c>
      <c r="Q38" s="11" t="s">
        <v>32</v>
      </c>
      <c r="R38" s="11" t="s">
        <v>617</v>
      </c>
      <c r="S38" s="11" t="s">
        <v>618</v>
      </c>
      <c r="T38" s="11" t="s">
        <v>88</v>
      </c>
      <c r="U38" s="11" t="s">
        <v>619</v>
      </c>
      <c r="V38" s="11" t="s">
        <v>380</v>
      </c>
      <c r="W38" s="11" t="s">
        <v>381</v>
      </c>
      <c r="X38" s="11" t="s">
        <v>619</v>
      </c>
      <c r="Y38" s="11" t="s">
        <v>382</v>
      </c>
      <c r="Z38" s="11" t="s">
        <v>620</v>
      </c>
      <c r="AA38" s="11" t="s">
        <v>65</v>
      </c>
    </row>
    <row r="39" spans="1:27">
      <c r="A39" s="12">
        <v>38</v>
      </c>
      <c r="B39" s="13">
        <v>16</v>
      </c>
      <c r="C39" s="13">
        <v>43</v>
      </c>
      <c r="D39" s="13">
        <v>53</v>
      </c>
      <c r="E39" s="13">
        <v>30</v>
      </c>
      <c r="F39" s="14">
        <f t="shared" si="0"/>
        <v>4.45</v>
      </c>
      <c r="G39" s="13">
        <v>5</v>
      </c>
      <c r="H39" s="13">
        <v>4</v>
      </c>
      <c r="I39" s="13">
        <v>4</v>
      </c>
      <c r="J39" s="13">
        <v>5</v>
      </c>
      <c r="K39" s="15" t="s">
        <v>423</v>
      </c>
      <c r="L39" s="15" t="s">
        <v>621</v>
      </c>
      <c r="M39" s="15" t="s">
        <v>622</v>
      </c>
      <c r="N39" s="15" t="s">
        <v>623</v>
      </c>
      <c r="O39" s="15" t="s">
        <v>375</v>
      </c>
      <c r="P39" s="15" t="s">
        <v>376</v>
      </c>
      <c r="Q39" s="15" t="s">
        <v>32</v>
      </c>
      <c r="R39" s="15" t="s">
        <v>624</v>
      </c>
      <c r="S39" s="15" t="s">
        <v>625</v>
      </c>
      <c r="T39" s="15" t="s">
        <v>88</v>
      </c>
      <c r="U39" s="15" t="s">
        <v>626</v>
      </c>
      <c r="V39" s="15" t="s">
        <v>380</v>
      </c>
      <c r="W39" s="15" t="s">
        <v>381</v>
      </c>
      <c r="X39" s="15" t="s">
        <v>626</v>
      </c>
      <c r="Y39" s="15" t="s">
        <v>382</v>
      </c>
      <c r="Z39" s="15" t="s">
        <v>627</v>
      </c>
      <c r="AA39" s="15" t="s">
        <v>628</v>
      </c>
    </row>
    <row r="40" spans="1:27">
      <c r="A40" s="8">
        <v>39</v>
      </c>
      <c r="B40" s="9">
        <v>17</v>
      </c>
      <c r="C40" s="9">
        <v>44</v>
      </c>
      <c r="D40" s="9">
        <v>54</v>
      </c>
      <c r="E40" s="9">
        <v>31</v>
      </c>
      <c r="F40" s="10">
        <f t="shared" si="0"/>
        <v>4.45</v>
      </c>
      <c r="G40" s="9">
        <v>5</v>
      </c>
      <c r="H40" s="9">
        <v>4</v>
      </c>
      <c r="I40" s="9">
        <v>4</v>
      </c>
      <c r="J40" s="9">
        <v>5</v>
      </c>
      <c r="K40" s="11" t="s">
        <v>423</v>
      </c>
      <c r="L40" s="11" t="s">
        <v>629</v>
      </c>
      <c r="M40" s="11" t="s">
        <v>630</v>
      </c>
      <c r="N40" s="11" t="s">
        <v>631</v>
      </c>
      <c r="O40" s="11" t="s">
        <v>375</v>
      </c>
      <c r="P40" s="11" t="s">
        <v>376</v>
      </c>
      <c r="Q40" s="11" t="s">
        <v>32</v>
      </c>
      <c r="R40" s="11" t="s">
        <v>632</v>
      </c>
      <c r="S40" s="11" t="s">
        <v>633</v>
      </c>
      <c r="T40" s="11" t="s">
        <v>88</v>
      </c>
      <c r="U40" s="11" t="s">
        <v>634</v>
      </c>
      <c r="V40" s="11" t="s">
        <v>380</v>
      </c>
      <c r="W40" s="11" t="s">
        <v>381</v>
      </c>
      <c r="X40" s="11" t="s">
        <v>634</v>
      </c>
      <c r="Y40" s="11" t="s">
        <v>382</v>
      </c>
      <c r="Z40" s="11" t="s">
        <v>266</v>
      </c>
      <c r="AA40" s="11" t="s">
        <v>246</v>
      </c>
    </row>
    <row r="41" spans="1:27">
      <c r="A41" s="12">
        <v>40</v>
      </c>
      <c r="B41" s="13">
        <v>18</v>
      </c>
      <c r="C41" s="13">
        <v>45</v>
      </c>
      <c r="D41" s="13">
        <v>55</v>
      </c>
      <c r="E41" s="13">
        <v>32</v>
      </c>
      <c r="F41" s="14">
        <f t="shared" si="0"/>
        <v>4.45</v>
      </c>
      <c r="G41" s="13">
        <v>5</v>
      </c>
      <c r="H41" s="13">
        <v>4</v>
      </c>
      <c r="I41" s="13">
        <v>4</v>
      </c>
      <c r="J41" s="13">
        <v>5</v>
      </c>
      <c r="K41" s="15" t="s">
        <v>372</v>
      </c>
      <c r="L41" s="15" t="s">
        <v>635</v>
      </c>
      <c r="M41" s="15" t="s">
        <v>636</v>
      </c>
      <c r="N41" s="15" t="s">
        <v>637</v>
      </c>
      <c r="O41" s="15" t="s">
        <v>375</v>
      </c>
      <c r="P41" s="15" t="s">
        <v>376</v>
      </c>
      <c r="Q41" s="15" t="s">
        <v>32</v>
      </c>
      <c r="R41" s="15" t="s">
        <v>638</v>
      </c>
      <c r="S41" s="15" t="s">
        <v>639</v>
      </c>
      <c r="T41" s="15" t="s">
        <v>88</v>
      </c>
      <c r="U41" s="15" t="s">
        <v>640</v>
      </c>
      <c r="V41" s="15" t="s">
        <v>380</v>
      </c>
      <c r="W41" s="15" t="s">
        <v>381</v>
      </c>
      <c r="X41" s="15" t="s">
        <v>640</v>
      </c>
      <c r="Y41" s="15" t="s">
        <v>382</v>
      </c>
      <c r="Z41" s="15" t="s">
        <v>641</v>
      </c>
      <c r="AA41" s="15" t="s">
        <v>65</v>
      </c>
    </row>
    <row r="42" spans="1:27">
      <c r="A42" s="8">
        <v>41</v>
      </c>
      <c r="B42" s="9">
        <v>19</v>
      </c>
      <c r="C42" s="9">
        <v>46</v>
      </c>
      <c r="D42" s="9">
        <v>56</v>
      </c>
      <c r="E42" s="9">
        <v>76</v>
      </c>
      <c r="F42" s="10">
        <f t="shared" si="0"/>
        <v>4.3499999999999996</v>
      </c>
      <c r="G42" s="9">
        <v>5</v>
      </c>
      <c r="H42" s="9">
        <v>4</v>
      </c>
      <c r="I42" s="9">
        <v>4</v>
      </c>
      <c r="J42" s="9">
        <v>4</v>
      </c>
      <c r="K42" s="11" t="s">
        <v>423</v>
      </c>
      <c r="L42" s="11" t="s">
        <v>642</v>
      </c>
      <c r="M42" s="11" t="s">
        <v>643</v>
      </c>
      <c r="N42" s="11" t="s">
        <v>644</v>
      </c>
      <c r="O42" s="11" t="s">
        <v>375</v>
      </c>
      <c r="P42" s="11" t="s">
        <v>376</v>
      </c>
      <c r="Q42" s="11" t="s">
        <v>32</v>
      </c>
      <c r="R42" s="11" t="s">
        <v>645</v>
      </c>
      <c r="S42" s="11" t="s">
        <v>646</v>
      </c>
      <c r="T42" s="11" t="s">
        <v>88</v>
      </c>
      <c r="U42" s="11" t="s">
        <v>647</v>
      </c>
      <c r="V42" s="11" t="s">
        <v>380</v>
      </c>
      <c r="W42" s="11" t="s">
        <v>381</v>
      </c>
      <c r="X42" s="11" t="s">
        <v>647</v>
      </c>
      <c r="Y42" s="11" t="s">
        <v>382</v>
      </c>
      <c r="Z42" s="11" t="s">
        <v>648</v>
      </c>
      <c r="AA42" s="11" t="s">
        <v>628</v>
      </c>
    </row>
    <row r="43" spans="1:27">
      <c r="A43" s="12">
        <v>42</v>
      </c>
      <c r="B43" s="13">
        <v>104</v>
      </c>
      <c r="C43" s="13">
        <v>34</v>
      </c>
      <c r="D43" s="13">
        <v>35</v>
      </c>
      <c r="E43" s="13">
        <v>33</v>
      </c>
      <c r="F43" s="14">
        <f t="shared" si="0"/>
        <v>4.3</v>
      </c>
      <c r="G43" s="13">
        <v>3</v>
      </c>
      <c r="H43" s="13">
        <v>5</v>
      </c>
      <c r="I43" s="13">
        <v>5</v>
      </c>
      <c r="J43" s="13">
        <v>5</v>
      </c>
      <c r="K43" s="15" t="s">
        <v>372</v>
      </c>
      <c r="L43" s="15" t="s">
        <v>649</v>
      </c>
      <c r="M43" s="15" t="s">
        <v>650</v>
      </c>
      <c r="N43" s="15" t="s">
        <v>651</v>
      </c>
      <c r="O43" s="15" t="s">
        <v>375</v>
      </c>
      <c r="P43" s="15" t="s">
        <v>376</v>
      </c>
      <c r="Q43" s="15" t="s">
        <v>32</v>
      </c>
      <c r="R43" s="15" t="s">
        <v>652</v>
      </c>
      <c r="S43" s="15" t="s">
        <v>653</v>
      </c>
      <c r="T43" s="15" t="s">
        <v>35</v>
      </c>
      <c r="U43" s="15" t="s">
        <v>654</v>
      </c>
      <c r="V43" s="15" t="s">
        <v>380</v>
      </c>
      <c r="W43" s="15" t="s">
        <v>381</v>
      </c>
      <c r="X43" s="15" t="s">
        <v>654</v>
      </c>
      <c r="Y43" s="15" t="s">
        <v>382</v>
      </c>
      <c r="Z43" s="15" t="s">
        <v>655</v>
      </c>
      <c r="AA43" s="15" t="s">
        <v>41</v>
      </c>
    </row>
    <row r="44" spans="1:27">
      <c r="A44" s="8">
        <v>43</v>
      </c>
      <c r="B44" s="9">
        <v>105</v>
      </c>
      <c r="C44" s="9">
        <v>35</v>
      </c>
      <c r="D44" s="9">
        <v>36</v>
      </c>
      <c r="E44" s="9">
        <v>34</v>
      </c>
      <c r="F44" s="10">
        <f t="shared" si="0"/>
        <v>4.3</v>
      </c>
      <c r="G44" s="9">
        <v>3</v>
      </c>
      <c r="H44" s="9">
        <v>5</v>
      </c>
      <c r="I44" s="9">
        <v>5</v>
      </c>
      <c r="J44" s="9">
        <v>5</v>
      </c>
      <c r="K44" s="11" t="s">
        <v>372</v>
      </c>
      <c r="L44" s="11" t="s">
        <v>656</v>
      </c>
      <c r="M44" s="11" t="s">
        <v>657</v>
      </c>
      <c r="N44" s="11" t="s">
        <v>658</v>
      </c>
      <c r="O44" s="11" t="s">
        <v>375</v>
      </c>
      <c r="P44" s="11" t="s">
        <v>376</v>
      </c>
      <c r="Q44" s="11" t="s">
        <v>32</v>
      </c>
      <c r="R44" s="11" t="s">
        <v>659</v>
      </c>
      <c r="S44" s="11" t="s">
        <v>660</v>
      </c>
      <c r="T44" s="11" t="s">
        <v>35</v>
      </c>
      <c r="U44" s="11" t="s">
        <v>661</v>
      </c>
      <c r="V44" s="11" t="s">
        <v>380</v>
      </c>
      <c r="W44" s="11" t="s">
        <v>381</v>
      </c>
      <c r="X44" s="11" t="s">
        <v>661</v>
      </c>
      <c r="Y44" s="11" t="s">
        <v>382</v>
      </c>
      <c r="Z44" s="11" t="s">
        <v>662</v>
      </c>
      <c r="AA44" s="11" t="s">
        <v>663</v>
      </c>
    </row>
    <row r="45" spans="1:27">
      <c r="A45" s="12">
        <v>44</v>
      </c>
      <c r="B45" s="13">
        <v>20</v>
      </c>
      <c r="C45" s="13">
        <v>47</v>
      </c>
      <c r="D45" s="13">
        <v>79</v>
      </c>
      <c r="E45" s="13">
        <v>35</v>
      </c>
      <c r="F45" s="14">
        <f t="shared" si="0"/>
        <v>4.25</v>
      </c>
      <c r="G45" s="13">
        <v>5</v>
      </c>
      <c r="H45" s="13">
        <v>4</v>
      </c>
      <c r="I45" s="13">
        <v>3</v>
      </c>
      <c r="J45" s="13">
        <v>5</v>
      </c>
      <c r="K45" s="15" t="s">
        <v>372</v>
      </c>
      <c r="L45" s="15" t="s">
        <v>664</v>
      </c>
      <c r="M45" s="15" t="s">
        <v>665</v>
      </c>
      <c r="N45" s="15" t="s">
        <v>666</v>
      </c>
      <c r="O45" s="15" t="s">
        <v>375</v>
      </c>
      <c r="P45" s="15" t="s">
        <v>376</v>
      </c>
      <c r="Q45" s="15" t="s">
        <v>193</v>
      </c>
      <c r="R45" s="15" t="s">
        <v>667</v>
      </c>
      <c r="S45" s="15" t="s">
        <v>668</v>
      </c>
      <c r="T45" s="15" t="s">
        <v>88</v>
      </c>
      <c r="U45" s="15" t="s">
        <v>669</v>
      </c>
      <c r="V45" s="15" t="s">
        <v>380</v>
      </c>
      <c r="W45" s="15" t="s">
        <v>381</v>
      </c>
      <c r="X45" s="15" t="s">
        <v>669</v>
      </c>
      <c r="Y45" s="15" t="s">
        <v>382</v>
      </c>
      <c r="Z45" s="15" t="s">
        <v>670</v>
      </c>
      <c r="AA45" s="15" t="s">
        <v>671</v>
      </c>
    </row>
    <row r="46" spans="1:27">
      <c r="A46" s="8">
        <v>45</v>
      </c>
      <c r="B46" s="9">
        <v>21</v>
      </c>
      <c r="C46" s="9">
        <v>48</v>
      </c>
      <c r="D46" s="9">
        <v>80</v>
      </c>
      <c r="E46" s="9">
        <v>36</v>
      </c>
      <c r="F46" s="10">
        <f t="shared" si="0"/>
        <v>4.25</v>
      </c>
      <c r="G46" s="9">
        <v>5</v>
      </c>
      <c r="H46" s="9">
        <v>4</v>
      </c>
      <c r="I46" s="9">
        <v>3</v>
      </c>
      <c r="J46" s="9">
        <v>5</v>
      </c>
      <c r="K46" s="11" t="s">
        <v>423</v>
      </c>
      <c r="L46" s="11" t="s">
        <v>672</v>
      </c>
      <c r="M46" s="11" t="s">
        <v>673</v>
      </c>
      <c r="N46" s="11" t="s">
        <v>674</v>
      </c>
      <c r="O46" s="11" t="s">
        <v>375</v>
      </c>
      <c r="P46" s="11" t="s">
        <v>376</v>
      </c>
      <c r="Q46" s="11" t="s">
        <v>193</v>
      </c>
      <c r="R46" s="11" t="s">
        <v>675</v>
      </c>
      <c r="S46" s="11" t="s">
        <v>676</v>
      </c>
      <c r="T46" s="11" t="s">
        <v>88</v>
      </c>
      <c r="U46" s="11" t="s">
        <v>677</v>
      </c>
      <c r="V46" s="11" t="s">
        <v>380</v>
      </c>
      <c r="W46" s="11" t="s">
        <v>381</v>
      </c>
      <c r="X46" s="11" t="s">
        <v>677</v>
      </c>
      <c r="Y46" s="11" t="s">
        <v>382</v>
      </c>
      <c r="Z46" s="11" t="s">
        <v>678</v>
      </c>
      <c r="AA46" s="11" t="s">
        <v>679</v>
      </c>
    </row>
    <row r="47" spans="1:27">
      <c r="A47" s="12">
        <v>46</v>
      </c>
      <c r="B47" s="13">
        <v>106</v>
      </c>
      <c r="C47" s="13">
        <v>36</v>
      </c>
      <c r="D47" s="13">
        <v>37</v>
      </c>
      <c r="E47" s="13">
        <v>77</v>
      </c>
      <c r="F47" s="14">
        <f t="shared" si="0"/>
        <v>4.2</v>
      </c>
      <c r="G47" s="13">
        <v>3</v>
      </c>
      <c r="H47" s="13">
        <v>5</v>
      </c>
      <c r="I47" s="13">
        <v>5</v>
      </c>
      <c r="J47" s="13">
        <v>4</v>
      </c>
      <c r="K47" s="15" t="s">
        <v>372</v>
      </c>
      <c r="L47" s="15" t="s">
        <v>680</v>
      </c>
      <c r="M47" s="15" t="s">
        <v>681</v>
      </c>
      <c r="N47" s="15" t="s">
        <v>682</v>
      </c>
      <c r="O47" s="15" t="s">
        <v>375</v>
      </c>
      <c r="P47" s="15" t="s">
        <v>376</v>
      </c>
      <c r="Q47" s="15" t="s">
        <v>32</v>
      </c>
      <c r="R47" s="15" t="s">
        <v>683</v>
      </c>
      <c r="S47" s="15" t="s">
        <v>684</v>
      </c>
      <c r="T47" s="15" t="s">
        <v>35</v>
      </c>
      <c r="U47" s="15" t="s">
        <v>685</v>
      </c>
      <c r="V47" s="15" t="s">
        <v>380</v>
      </c>
      <c r="W47" s="15" t="s">
        <v>381</v>
      </c>
      <c r="X47" s="15" t="s">
        <v>685</v>
      </c>
      <c r="Y47" s="15" t="s">
        <v>382</v>
      </c>
      <c r="Z47" s="15" t="s">
        <v>686</v>
      </c>
      <c r="AA47" s="15" t="s">
        <v>687</v>
      </c>
    </row>
    <row r="48" spans="1:27">
      <c r="A48" s="8">
        <v>47</v>
      </c>
      <c r="B48" s="9">
        <v>107</v>
      </c>
      <c r="C48" s="9">
        <v>37</v>
      </c>
      <c r="D48" s="9">
        <v>38</v>
      </c>
      <c r="E48" s="9">
        <v>78</v>
      </c>
      <c r="F48" s="10">
        <f t="shared" si="0"/>
        <v>4.2</v>
      </c>
      <c r="G48" s="9">
        <v>3</v>
      </c>
      <c r="H48" s="9">
        <v>5</v>
      </c>
      <c r="I48" s="9">
        <v>5</v>
      </c>
      <c r="J48" s="9">
        <v>4</v>
      </c>
      <c r="K48" s="11" t="s">
        <v>423</v>
      </c>
      <c r="L48" s="11" t="s">
        <v>688</v>
      </c>
      <c r="M48" s="11" t="s">
        <v>689</v>
      </c>
      <c r="N48" s="11" t="s">
        <v>690</v>
      </c>
      <c r="O48" s="11" t="s">
        <v>375</v>
      </c>
      <c r="P48" s="11" t="s">
        <v>376</v>
      </c>
      <c r="Q48" s="11" t="s">
        <v>32</v>
      </c>
      <c r="R48" s="11" t="s">
        <v>691</v>
      </c>
      <c r="S48" s="11" t="s">
        <v>692</v>
      </c>
      <c r="T48" s="11" t="s">
        <v>35</v>
      </c>
      <c r="U48" s="11" t="s">
        <v>693</v>
      </c>
      <c r="V48" s="11" t="s">
        <v>380</v>
      </c>
      <c r="W48" s="11" t="s">
        <v>381</v>
      </c>
      <c r="X48" s="11" t="s">
        <v>693</v>
      </c>
      <c r="Y48" s="11" t="s">
        <v>382</v>
      </c>
      <c r="Z48" s="11" t="s">
        <v>694</v>
      </c>
      <c r="AA48" s="11" t="s">
        <v>120</v>
      </c>
    </row>
    <row r="49" spans="1:27">
      <c r="A49" s="12">
        <v>48</v>
      </c>
      <c r="B49" s="13">
        <v>53</v>
      </c>
      <c r="C49" s="13">
        <v>49</v>
      </c>
      <c r="D49" s="13">
        <v>39</v>
      </c>
      <c r="E49" s="13">
        <v>79</v>
      </c>
      <c r="F49" s="14">
        <f t="shared" si="0"/>
        <v>4.2</v>
      </c>
      <c r="G49" s="13">
        <v>4</v>
      </c>
      <c r="H49" s="13">
        <v>4</v>
      </c>
      <c r="I49" s="13">
        <v>5</v>
      </c>
      <c r="J49" s="13">
        <v>4</v>
      </c>
      <c r="K49" s="15" t="s">
        <v>423</v>
      </c>
      <c r="L49" s="15" t="s">
        <v>695</v>
      </c>
      <c r="M49" s="15" t="s">
        <v>696</v>
      </c>
      <c r="N49" s="15" t="s">
        <v>697</v>
      </c>
      <c r="O49" s="15" t="s">
        <v>375</v>
      </c>
      <c r="P49" s="15" t="s">
        <v>376</v>
      </c>
      <c r="Q49" s="15" t="s">
        <v>32</v>
      </c>
      <c r="R49" s="15" t="s">
        <v>698</v>
      </c>
      <c r="S49" s="15" t="s">
        <v>699</v>
      </c>
      <c r="T49" s="15" t="s">
        <v>88</v>
      </c>
      <c r="U49" s="15" t="s">
        <v>700</v>
      </c>
      <c r="V49" s="15" t="s">
        <v>380</v>
      </c>
      <c r="W49" s="15" t="s">
        <v>381</v>
      </c>
      <c r="X49" s="15" t="s">
        <v>700</v>
      </c>
      <c r="Y49" s="15" t="s">
        <v>382</v>
      </c>
      <c r="Z49" s="15" t="s">
        <v>701</v>
      </c>
      <c r="AA49" s="15" t="s">
        <v>702</v>
      </c>
    </row>
    <row r="50" spans="1:27">
      <c r="A50" s="8">
        <v>49</v>
      </c>
      <c r="B50" s="9">
        <v>54</v>
      </c>
      <c r="C50" s="9">
        <v>50</v>
      </c>
      <c r="D50" s="9">
        <v>40</v>
      </c>
      <c r="E50" s="9">
        <v>80</v>
      </c>
      <c r="F50" s="10">
        <f t="shared" si="0"/>
        <v>4.2</v>
      </c>
      <c r="G50" s="9">
        <v>4</v>
      </c>
      <c r="H50" s="9">
        <v>4</v>
      </c>
      <c r="I50" s="9">
        <v>5</v>
      </c>
      <c r="J50" s="9">
        <v>4</v>
      </c>
      <c r="K50" s="11" t="s">
        <v>423</v>
      </c>
      <c r="L50" s="11" t="s">
        <v>703</v>
      </c>
      <c r="M50" s="11" t="s">
        <v>704</v>
      </c>
      <c r="N50" s="11" t="s">
        <v>705</v>
      </c>
      <c r="O50" s="11" t="s">
        <v>375</v>
      </c>
      <c r="P50" s="11" t="s">
        <v>376</v>
      </c>
      <c r="Q50" s="11" t="s">
        <v>32</v>
      </c>
      <c r="R50" s="11" t="s">
        <v>706</v>
      </c>
      <c r="S50" s="11" t="s">
        <v>707</v>
      </c>
      <c r="T50" s="11" t="s">
        <v>88</v>
      </c>
      <c r="U50" s="11" t="s">
        <v>708</v>
      </c>
      <c r="V50" s="11" t="s">
        <v>380</v>
      </c>
      <c r="W50" s="11" t="s">
        <v>381</v>
      </c>
      <c r="X50" s="11" t="s">
        <v>708</v>
      </c>
      <c r="Y50" s="11" t="s">
        <v>382</v>
      </c>
      <c r="Z50" s="11" t="s">
        <v>709</v>
      </c>
      <c r="AA50" s="11" t="s">
        <v>710</v>
      </c>
    </row>
    <row r="51" spans="1:27">
      <c r="A51" s="12">
        <v>50</v>
      </c>
      <c r="B51" s="13">
        <v>108</v>
      </c>
      <c r="C51" s="13">
        <v>38</v>
      </c>
      <c r="D51" s="13">
        <v>41</v>
      </c>
      <c r="E51" s="13">
        <v>144</v>
      </c>
      <c r="F51" s="14">
        <f t="shared" si="0"/>
        <v>4.0999999999999996</v>
      </c>
      <c r="G51" s="13">
        <v>3</v>
      </c>
      <c r="H51" s="13">
        <v>5</v>
      </c>
      <c r="I51" s="13">
        <v>5</v>
      </c>
      <c r="J51" s="13">
        <v>3</v>
      </c>
      <c r="K51" s="15" t="s">
        <v>372</v>
      </c>
      <c r="L51" s="15" t="s">
        <v>711</v>
      </c>
      <c r="M51" s="15" t="s">
        <v>712</v>
      </c>
      <c r="N51" s="15" t="s">
        <v>713</v>
      </c>
      <c r="O51" s="15" t="s">
        <v>375</v>
      </c>
      <c r="P51" s="15" t="s">
        <v>376</v>
      </c>
      <c r="Q51" s="15" t="s">
        <v>32</v>
      </c>
      <c r="R51" s="15" t="s">
        <v>714</v>
      </c>
      <c r="S51" s="15" t="s">
        <v>715</v>
      </c>
      <c r="T51" s="15" t="s">
        <v>35</v>
      </c>
      <c r="U51" s="15" t="s">
        <v>716</v>
      </c>
      <c r="V51" s="15" t="s">
        <v>380</v>
      </c>
      <c r="W51" s="15" t="s">
        <v>381</v>
      </c>
      <c r="X51" s="15" t="s">
        <v>716</v>
      </c>
      <c r="Y51" s="15" t="s">
        <v>382</v>
      </c>
      <c r="Z51" s="15" t="s">
        <v>717</v>
      </c>
      <c r="AA51" s="15" t="s">
        <v>57</v>
      </c>
    </row>
    <row r="52" spans="1:27">
      <c r="A52" s="8">
        <v>51</v>
      </c>
      <c r="B52" s="9">
        <v>55</v>
      </c>
      <c r="C52" s="9">
        <v>51</v>
      </c>
      <c r="D52" s="9">
        <v>57</v>
      </c>
      <c r="E52" s="9">
        <v>37</v>
      </c>
      <c r="F52" s="10">
        <f t="shared" si="0"/>
        <v>4.0999999999999996</v>
      </c>
      <c r="G52" s="9">
        <v>4</v>
      </c>
      <c r="H52" s="9">
        <v>4</v>
      </c>
      <c r="I52" s="9">
        <v>4</v>
      </c>
      <c r="J52" s="9">
        <v>5</v>
      </c>
      <c r="K52" s="11" t="s">
        <v>372</v>
      </c>
      <c r="L52" s="11" t="s">
        <v>718</v>
      </c>
      <c r="M52" s="11" t="s">
        <v>719</v>
      </c>
      <c r="N52" s="11" t="s">
        <v>720</v>
      </c>
      <c r="O52" s="11" t="s">
        <v>375</v>
      </c>
      <c r="P52" s="11" t="s">
        <v>376</v>
      </c>
      <c r="Q52" s="11" t="s">
        <v>32</v>
      </c>
      <c r="R52" s="11" t="s">
        <v>721</v>
      </c>
      <c r="S52" s="11" t="s">
        <v>722</v>
      </c>
      <c r="T52" s="11" t="s">
        <v>88</v>
      </c>
      <c r="U52" s="11" t="s">
        <v>723</v>
      </c>
      <c r="V52" s="11" t="s">
        <v>380</v>
      </c>
      <c r="W52" s="11" t="s">
        <v>381</v>
      </c>
      <c r="X52" s="11" t="s">
        <v>723</v>
      </c>
      <c r="Y52" s="11" t="s">
        <v>382</v>
      </c>
      <c r="Z52" s="11" t="s">
        <v>724</v>
      </c>
      <c r="AA52" s="11" t="s">
        <v>57</v>
      </c>
    </row>
    <row r="53" spans="1:27">
      <c r="A53" s="12">
        <v>52</v>
      </c>
      <c r="B53" s="13">
        <v>56</v>
      </c>
      <c r="C53" s="13">
        <v>52</v>
      </c>
      <c r="D53" s="13">
        <v>58</v>
      </c>
      <c r="E53" s="13">
        <v>38</v>
      </c>
      <c r="F53" s="14">
        <f t="shared" si="0"/>
        <v>4.0999999999999996</v>
      </c>
      <c r="G53" s="13">
        <v>4</v>
      </c>
      <c r="H53" s="13">
        <v>4</v>
      </c>
      <c r="I53" s="13">
        <v>4</v>
      </c>
      <c r="J53" s="13">
        <v>5</v>
      </c>
      <c r="K53" s="15" t="s">
        <v>423</v>
      </c>
      <c r="L53" s="15" t="s">
        <v>725</v>
      </c>
      <c r="M53" s="15" t="s">
        <v>726</v>
      </c>
      <c r="N53" s="15" t="s">
        <v>727</v>
      </c>
      <c r="O53" s="15" t="s">
        <v>375</v>
      </c>
      <c r="P53" s="15" t="s">
        <v>376</v>
      </c>
      <c r="Q53" s="15" t="s">
        <v>32</v>
      </c>
      <c r="R53" s="15" t="s">
        <v>728</v>
      </c>
      <c r="S53" s="15" t="s">
        <v>729</v>
      </c>
      <c r="T53" s="15" t="s">
        <v>88</v>
      </c>
      <c r="U53" s="15" t="s">
        <v>730</v>
      </c>
      <c r="V53" s="15" t="s">
        <v>380</v>
      </c>
      <c r="W53" s="15" t="s">
        <v>381</v>
      </c>
      <c r="X53" s="15" t="s">
        <v>730</v>
      </c>
      <c r="Y53" s="15" t="s">
        <v>382</v>
      </c>
      <c r="Z53" s="15" t="s">
        <v>731</v>
      </c>
      <c r="AA53" s="15" t="s">
        <v>732</v>
      </c>
    </row>
    <row r="54" spans="1:27">
      <c r="A54" s="8">
        <v>53</v>
      </c>
      <c r="B54" s="9">
        <v>57</v>
      </c>
      <c r="C54" s="9">
        <v>53</v>
      </c>
      <c r="D54" s="9">
        <v>59</v>
      </c>
      <c r="E54" s="9">
        <v>39</v>
      </c>
      <c r="F54" s="10">
        <f t="shared" si="0"/>
        <v>4.0999999999999996</v>
      </c>
      <c r="G54" s="9">
        <v>4</v>
      </c>
      <c r="H54" s="9">
        <v>4</v>
      </c>
      <c r="I54" s="9">
        <v>4</v>
      </c>
      <c r="J54" s="9">
        <v>5</v>
      </c>
      <c r="K54" s="11" t="s">
        <v>372</v>
      </c>
      <c r="L54" s="11" t="s">
        <v>733</v>
      </c>
      <c r="M54" s="11" t="s">
        <v>734</v>
      </c>
      <c r="N54" s="11" t="s">
        <v>735</v>
      </c>
      <c r="O54" s="11" t="s">
        <v>375</v>
      </c>
      <c r="P54" s="11" t="s">
        <v>376</v>
      </c>
      <c r="Q54" s="11" t="s">
        <v>32</v>
      </c>
      <c r="R54" s="11" t="s">
        <v>736</v>
      </c>
      <c r="S54" s="11" t="s">
        <v>737</v>
      </c>
      <c r="T54" s="11" t="s">
        <v>88</v>
      </c>
      <c r="U54" s="11" t="s">
        <v>738</v>
      </c>
      <c r="V54" s="11" t="s">
        <v>380</v>
      </c>
      <c r="W54" s="11" t="s">
        <v>381</v>
      </c>
      <c r="X54" s="11" t="s">
        <v>738</v>
      </c>
      <c r="Y54" s="11" t="s">
        <v>382</v>
      </c>
      <c r="Z54" s="11" t="s">
        <v>739</v>
      </c>
      <c r="AA54" s="11" t="s">
        <v>65</v>
      </c>
    </row>
    <row r="55" spans="1:27">
      <c r="A55" s="12">
        <v>54</v>
      </c>
      <c r="B55" s="13">
        <v>58</v>
      </c>
      <c r="C55" s="13">
        <v>54</v>
      </c>
      <c r="D55" s="13">
        <v>60</v>
      </c>
      <c r="E55" s="13">
        <v>40</v>
      </c>
      <c r="F55" s="14">
        <f t="shared" si="0"/>
        <v>4.0999999999999996</v>
      </c>
      <c r="G55" s="13">
        <v>4</v>
      </c>
      <c r="H55" s="13">
        <v>4</v>
      </c>
      <c r="I55" s="13">
        <v>4</v>
      </c>
      <c r="J55" s="13">
        <v>5</v>
      </c>
      <c r="K55" s="15" t="s">
        <v>423</v>
      </c>
      <c r="L55" s="15" t="s">
        <v>740</v>
      </c>
      <c r="M55" s="15" t="s">
        <v>741</v>
      </c>
      <c r="N55" s="15" t="s">
        <v>742</v>
      </c>
      <c r="O55" s="15" t="s">
        <v>375</v>
      </c>
      <c r="P55" s="15" t="s">
        <v>376</v>
      </c>
      <c r="Q55" s="15" t="s">
        <v>32</v>
      </c>
      <c r="R55" s="15" t="s">
        <v>743</v>
      </c>
      <c r="S55" s="15" t="s">
        <v>744</v>
      </c>
      <c r="T55" s="15" t="s">
        <v>88</v>
      </c>
      <c r="U55" s="15" t="s">
        <v>745</v>
      </c>
      <c r="V55" s="15" t="s">
        <v>380</v>
      </c>
      <c r="W55" s="15" t="s">
        <v>381</v>
      </c>
      <c r="X55" s="15" t="s">
        <v>745</v>
      </c>
      <c r="Y55" s="15" t="s">
        <v>382</v>
      </c>
      <c r="Z55" s="15" t="s">
        <v>746</v>
      </c>
      <c r="AA55" s="15" t="s">
        <v>747</v>
      </c>
    </row>
    <row r="56" spans="1:27">
      <c r="A56" s="8">
        <v>55</v>
      </c>
      <c r="B56" s="9">
        <v>59</v>
      </c>
      <c r="C56" s="9">
        <v>55</v>
      </c>
      <c r="D56" s="9">
        <v>61</v>
      </c>
      <c r="E56" s="9">
        <v>41</v>
      </c>
      <c r="F56" s="10">
        <f t="shared" si="0"/>
        <v>4.0999999999999996</v>
      </c>
      <c r="G56" s="9">
        <v>4</v>
      </c>
      <c r="H56" s="9">
        <v>4</v>
      </c>
      <c r="I56" s="9">
        <v>4</v>
      </c>
      <c r="J56" s="9">
        <v>5</v>
      </c>
      <c r="K56" s="11" t="s">
        <v>423</v>
      </c>
      <c r="L56" s="11" t="s">
        <v>748</v>
      </c>
      <c r="M56" s="11" t="s">
        <v>749</v>
      </c>
      <c r="N56" s="11" t="s">
        <v>750</v>
      </c>
      <c r="O56" s="11" t="s">
        <v>375</v>
      </c>
      <c r="P56" s="11" t="s">
        <v>376</v>
      </c>
      <c r="Q56" s="11" t="s">
        <v>32</v>
      </c>
      <c r="R56" s="11" t="s">
        <v>751</v>
      </c>
      <c r="S56" s="11" t="s">
        <v>752</v>
      </c>
      <c r="T56" s="11" t="s">
        <v>88</v>
      </c>
      <c r="U56" s="11" t="s">
        <v>753</v>
      </c>
      <c r="V56" s="11" t="s">
        <v>380</v>
      </c>
      <c r="W56" s="11" t="s">
        <v>381</v>
      </c>
      <c r="X56" s="11" t="s">
        <v>753</v>
      </c>
      <c r="Y56" s="11" t="s">
        <v>382</v>
      </c>
      <c r="Z56" s="11" t="s">
        <v>754</v>
      </c>
      <c r="AA56" s="11" t="s">
        <v>92</v>
      </c>
    </row>
    <row r="57" spans="1:27">
      <c r="A57" s="12">
        <v>56</v>
      </c>
      <c r="B57" s="13">
        <v>22</v>
      </c>
      <c r="C57" s="13">
        <v>56</v>
      </c>
      <c r="D57" s="13">
        <v>102</v>
      </c>
      <c r="E57" s="13">
        <v>42</v>
      </c>
      <c r="F57" s="14">
        <f t="shared" si="0"/>
        <v>4.05</v>
      </c>
      <c r="G57" s="13">
        <v>5</v>
      </c>
      <c r="H57" s="13">
        <v>4</v>
      </c>
      <c r="I57" s="13">
        <v>2</v>
      </c>
      <c r="J57" s="13">
        <v>5</v>
      </c>
      <c r="K57" s="15" t="s">
        <v>372</v>
      </c>
      <c r="L57" s="15" t="s">
        <v>755</v>
      </c>
      <c r="M57" s="15" t="s">
        <v>756</v>
      </c>
      <c r="N57" s="15" t="s">
        <v>757</v>
      </c>
      <c r="O57" s="15" t="s">
        <v>375</v>
      </c>
      <c r="P57" s="15" t="s">
        <v>376</v>
      </c>
      <c r="Q57" s="15" t="s">
        <v>193</v>
      </c>
      <c r="R57" s="15" t="s">
        <v>758</v>
      </c>
      <c r="S57" s="15" t="s">
        <v>759</v>
      </c>
      <c r="T57" s="15" t="s">
        <v>88</v>
      </c>
      <c r="U57" s="15" t="s">
        <v>760</v>
      </c>
      <c r="V57" s="15" t="s">
        <v>380</v>
      </c>
      <c r="W57" s="15" t="s">
        <v>381</v>
      </c>
      <c r="X57" s="15" t="s">
        <v>760</v>
      </c>
      <c r="Y57" s="15" t="s">
        <v>382</v>
      </c>
      <c r="Z57" s="15" t="s">
        <v>761</v>
      </c>
      <c r="AA57" s="15" t="s">
        <v>671</v>
      </c>
    </row>
    <row r="58" spans="1:27">
      <c r="A58" s="8">
        <v>57</v>
      </c>
      <c r="B58" s="9">
        <v>23</v>
      </c>
      <c r="C58" s="9">
        <v>57</v>
      </c>
      <c r="D58" s="9">
        <v>103</v>
      </c>
      <c r="E58" s="9">
        <v>43</v>
      </c>
      <c r="F58" s="10">
        <f t="shared" si="0"/>
        <v>4.05</v>
      </c>
      <c r="G58" s="9">
        <v>5</v>
      </c>
      <c r="H58" s="9">
        <v>4</v>
      </c>
      <c r="I58" s="9">
        <v>2</v>
      </c>
      <c r="J58" s="9">
        <v>5</v>
      </c>
      <c r="K58" s="11" t="s">
        <v>372</v>
      </c>
      <c r="L58" s="11" t="s">
        <v>762</v>
      </c>
      <c r="M58" s="11" t="s">
        <v>763</v>
      </c>
      <c r="N58" s="11" t="s">
        <v>764</v>
      </c>
      <c r="O58" s="11" t="s">
        <v>375</v>
      </c>
      <c r="P58" s="11" t="s">
        <v>376</v>
      </c>
      <c r="Q58" s="11" t="s">
        <v>193</v>
      </c>
      <c r="R58" s="11" t="s">
        <v>765</v>
      </c>
      <c r="S58" s="11" t="s">
        <v>766</v>
      </c>
      <c r="T58" s="11" t="s">
        <v>88</v>
      </c>
      <c r="U58" s="11" t="s">
        <v>767</v>
      </c>
      <c r="V58" s="11" t="s">
        <v>380</v>
      </c>
      <c r="W58" s="11" t="s">
        <v>381</v>
      </c>
      <c r="X58" s="11" t="s">
        <v>767</v>
      </c>
      <c r="Y58" s="11" t="s">
        <v>382</v>
      </c>
      <c r="Z58" s="11" t="s">
        <v>768</v>
      </c>
      <c r="AA58" s="11" t="s">
        <v>671</v>
      </c>
    </row>
    <row r="59" spans="1:27">
      <c r="A59" s="12">
        <v>58</v>
      </c>
      <c r="B59" s="13">
        <v>24</v>
      </c>
      <c r="C59" s="13">
        <v>58</v>
      </c>
      <c r="D59" s="13">
        <v>104</v>
      </c>
      <c r="E59" s="13">
        <v>44</v>
      </c>
      <c r="F59" s="14">
        <f t="shared" si="0"/>
        <v>4.05</v>
      </c>
      <c r="G59" s="13">
        <v>5</v>
      </c>
      <c r="H59" s="13">
        <v>4</v>
      </c>
      <c r="I59" s="13">
        <v>2</v>
      </c>
      <c r="J59" s="13">
        <v>5</v>
      </c>
      <c r="K59" s="15" t="s">
        <v>372</v>
      </c>
      <c r="L59" s="15" t="s">
        <v>769</v>
      </c>
      <c r="M59" s="15" t="s">
        <v>770</v>
      </c>
      <c r="N59" s="15" t="s">
        <v>771</v>
      </c>
      <c r="O59" s="15" t="s">
        <v>375</v>
      </c>
      <c r="P59" s="15" t="s">
        <v>376</v>
      </c>
      <c r="Q59" s="15" t="s">
        <v>193</v>
      </c>
      <c r="R59" s="15" t="s">
        <v>772</v>
      </c>
      <c r="S59" s="15" t="s">
        <v>773</v>
      </c>
      <c r="T59" s="15" t="s">
        <v>88</v>
      </c>
      <c r="U59" s="15" t="s">
        <v>774</v>
      </c>
      <c r="V59" s="15" t="s">
        <v>380</v>
      </c>
      <c r="W59" s="15" t="s">
        <v>381</v>
      </c>
      <c r="X59" s="15" t="s">
        <v>774</v>
      </c>
      <c r="Y59" s="15" t="s">
        <v>382</v>
      </c>
      <c r="Z59" s="15" t="s">
        <v>775</v>
      </c>
      <c r="AA59" s="15" t="s">
        <v>776</v>
      </c>
    </row>
    <row r="60" spans="1:27">
      <c r="A60" s="8">
        <v>59</v>
      </c>
      <c r="B60" s="9">
        <v>25</v>
      </c>
      <c r="C60" s="9">
        <v>59</v>
      </c>
      <c r="D60" s="9">
        <v>105</v>
      </c>
      <c r="E60" s="9">
        <v>45</v>
      </c>
      <c r="F60" s="10">
        <f t="shared" si="0"/>
        <v>4.05</v>
      </c>
      <c r="G60" s="9">
        <v>5</v>
      </c>
      <c r="H60" s="9">
        <v>4</v>
      </c>
      <c r="I60" s="9">
        <v>2</v>
      </c>
      <c r="J60" s="9">
        <v>5</v>
      </c>
      <c r="K60" s="11" t="s">
        <v>423</v>
      </c>
      <c r="L60" s="11" t="s">
        <v>777</v>
      </c>
      <c r="M60" s="11" t="s">
        <v>778</v>
      </c>
      <c r="N60" s="11" t="s">
        <v>779</v>
      </c>
      <c r="O60" s="11" t="s">
        <v>375</v>
      </c>
      <c r="P60" s="11" t="s">
        <v>376</v>
      </c>
      <c r="Q60" s="11" t="s">
        <v>193</v>
      </c>
      <c r="R60" s="11" t="s">
        <v>780</v>
      </c>
      <c r="S60" s="11" t="s">
        <v>781</v>
      </c>
      <c r="T60" s="11" t="s">
        <v>88</v>
      </c>
      <c r="U60" s="11" t="s">
        <v>782</v>
      </c>
      <c r="V60" s="11" t="s">
        <v>380</v>
      </c>
      <c r="W60" s="11" t="s">
        <v>381</v>
      </c>
      <c r="X60" s="11" t="s">
        <v>782</v>
      </c>
      <c r="Y60" s="11" t="s">
        <v>382</v>
      </c>
      <c r="Z60" s="11" t="s">
        <v>783</v>
      </c>
      <c r="AA60" s="11" t="s">
        <v>784</v>
      </c>
    </row>
    <row r="61" spans="1:27">
      <c r="A61" s="12">
        <v>60</v>
      </c>
      <c r="B61" s="13">
        <v>60</v>
      </c>
      <c r="C61" s="13">
        <v>60</v>
      </c>
      <c r="D61" s="13">
        <v>62</v>
      </c>
      <c r="E61" s="13">
        <v>81</v>
      </c>
      <c r="F61" s="14">
        <f t="shared" si="0"/>
        <v>4</v>
      </c>
      <c r="G61" s="13">
        <v>4</v>
      </c>
      <c r="H61" s="13">
        <v>4</v>
      </c>
      <c r="I61" s="13">
        <v>4</v>
      </c>
      <c r="J61" s="13">
        <v>4</v>
      </c>
      <c r="K61" s="15" t="s">
        <v>423</v>
      </c>
      <c r="L61" s="15" t="s">
        <v>785</v>
      </c>
      <c r="M61" s="15" t="s">
        <v>786</v>
      </c>
      <c r="N61" s="15" t="s">
        <v>102</v>
      </c>
      <c r="O61" s="15" t="s">
        <v>375</v>
      </c>
      <c r="P61" s="15" t="s">
        <v>376</v>
      </c>
      <c r="Q61" s="15" t="s">
        <v>32</v>
      </c>
      <c r="R61" s="15" t="s">
        <v>787</v>
      </c>
      <c r="S61" s="15" t="s">
        <v>788</v>
      </c>
      <c r="T61" s="15" t="s">
        <v>88</v>
      </c>
      <c r="U61" s="15" t="s">
        <v>789</v>
      </c>
      <c r="V61" s="15" t="s">
        <v>380</v>
      </c>
      <c r="W61" s="15" t="s">
        <v>381</v>
      </c>
      <c r="X61" s="15" t="s">
        <v>789</v>
      </c>
      <c r="Y61" s="15" t="s">
        <v>382</v>
      </c>
      <c r="Z61" s="15" t="s">
        <v>790</v>
      </c>
      <c r="AA61" s="15" t="s">
        <v>791</v>
      </c>
    </row>
    <row r="62" spans="1:27">
      <c r="A62" s="8">
        <v>61</v>
      </c>
      <c r="B62" s="9">
        <v>61</v>
      </c>
      <c r="C62" s="9">
        <v>61</v>
      </c>
      <c r="D62" s="9">
        <v>63</v>
      </c>
      <c r="E62" s="9">
        <v>82</v>
      </c>
      <c r="F62" s="10">
        <f t="shared" si="0"/>
        <v>4</v>
      </c>
      <c r="G62" s="9">
        <v>4</v>
      </c>
      <c r="H62" s="9">
        <v>4</v>
      </c>
      <c r="I62" s="9">
        <v>4</v>
      </c>
      <c r="J62" s="9">
        <v>4</v>
      </c>
      <c r="K62" s="11" t="s">
        <v>423</v>
      </c>
      <c r="L62" s="11" t="s">
        <v>792</v>
      </c>
      <c r="M62" s="11" t="s">
        <v>622</v>
      </c>
      <c r="N62" s="11" t="s">
        <v>793</v>
      </c>
      <c r="O62" s="11" t="s">
        <v>375</v>
      </c>
      <c r="P62" s="11" t="s">
        <v>376</v>
      </c>
      <c r="Q62" s="11" t="s">
        <v>32</v>
      </c>
      <c r="R62" s="11" t="s">
        <v>794</v>
      </c>
      <c r="S62" s="11" t="s">
        <v>795</v>
      </c>
      <c r="T62" s="11" t="s">
        <v>88</v>
      </c>
      <c r="U62" s="11" t="s">
        <v>796</v>
      </c>
      <c r="V62" s="11" t="s">
        <v>380</v>
      </c>
      <c r="W62" s="11" t="s">
        <v>381</v>
      </c>
      <c r="X62" s="11" t="s">
        <v>796</v>
      </c>
      <c r="Y62" s="11" t="s">
        <v>382</v>
      </c>
      <c r="Z62" s="11" t="s">
        <v>797</v>
      </c>
      <c r="AA62" s="11" t="s">
        <v>798</v>
      </c>
    </row>
    <row r="63" spans="1:27">
      <c r="A63" s="12">
        <v>62</v>
      </c>
      <c r="B63" s="13">
        <v>62</v>
      </c>
      <c r="C63" s="13">
        <v>62</v>
      </c>
      <c r="D63" s="13">
        <v>64</v>
      </c>
      <c r="E63" s="13">
        <v>83</v>
      </c>
      <c r="F63" s="14">
        <f t="shared" si="0"/>
        <v>4</v>
      </c>
      <c r="G63" s="13">
        <v>4</v>
      </c>
      <c r="H63" s="13">
        <v>4</v>
      </c>
      <c r="I63" s="13">
        <v>4</v>
      </c>
      <c r="J63" s="13">
        <v>4</v>
      </c>
      <c r="K63" s="15" t="s">
        <v>423</v>
      </c>
      <c r="L63" s="15" t="s">
        <v>799</v>
      </c>
      <c r="M63" s="15" t="s">
        <v>800</v>
      </c>
      <c r="N63" s="15" t="s">
        <v>801</v>
      </c>
      <c r="O63" s="15" t="s">
        <v>375</v>
      </c>
      <c r="P63" s="15" t="s">
        <v>376</v>
      </c>
      <c r="Q63" s="15" t="s">
        <v>32</v>
      </c>
      <c r="R63" s="15" t="s">
        <v>802</v>
      </c>
      <c r="S63" s="15" t="s">
        <v>803</v>
      </c>
      <c r="T63" s="15" t="s">
        <v>88</v>
      </c>
      <c r="U63" s="15" t="s">
        <v>804</v>
      </c>
      <c r="V63" s="15" t="s">
        <v>380</v>
      </c>
      <c r="W63" s="15" t="s">
        <v>381</v>
      </c>
      <c r="X63" s="15" t="s">
        <v>804</v>
      </c>
      <c r="Y63" s="15" t="s">
        <v>382</v>
      </c>
      <c r="Z63" s="15" t="s">
        <v>805</v>
      </c>
      <c r="AA63" s="15" t="s">
        <v>806</v>
      </c>
    </row>
    <row r="64" spans="1:27">
      <c r="A64" s="8">
        <v>63</v>
      </c>
      <c r="B64" s="9">
        <v>63</v>
      </c>
      <c r="C64" s="9">
        <v>63</v>
      </c>
      <c r="D64" s="9">
        <v>65</v>
      </c>
      <c r="E64" s="9">
        <v>84</v>
      </c>
      <c r="F64" s="10">
        <f t="shared" si="0"/>
        <v>4</v>
      </c>
      <c r="G64" s="9">
        <v>4</v>
      </c>
      <c r="H64" s="9">
        <v>4</v>
      </c>
      <c r="I64" s="9">
        <v>4</v>
      </c>
      <c r="J64" s="9">
        <v>4</v>
      </c>
      <c r="K64" s="11" t="s">
        <v>372</v>
      </c>
      <c r="L64" s="11" t="s">
        <v>807</v>
      </c>
      <c r="M64" s="11" t="s">
        <v>808</v>
      </c>
      <c r="N64" s="11" t="s">
        <v>809</v>
      </c>
      <c r="O64" s="11" t="s">
        <v>375</v>
      </c>
      <c r="P64" s="11" t="s">
        <v>376</v>
      </c>
      <c r="Q64" s="11" t="s">
        <v>32</v>
      </c>
      <c r="R64" s="11" t="s">
        <v>810</v>
      </c>
      <c r="S64" s="11" t="s">
        <v>811</v>
      </c>
      <c r="T64" s="11" t="s">
        <v>88</v>
      </c>
      <c r="U64" s="11" t="s">
        <v>812</v>
      </c>
      <c r="V64" s="11" t="s">
        <v>380</v>
      </c>
      <c r="W64" s="11" t="s">
        <v>381</v>
      </c>
      <c r="X64" s="11" t="s">
        <v>812</v>
      </c>
      <c r="Y64" s="11" t="s">
        <v>382</v>
      </c>
      <c r="Z64" s="11" t="s">
        <v>813</v>
      </c>
      <c r="AA64" s="11" t="s">
        <v>814</v>
      </c>
    </row>
    <row r="65" spans="1:27">
      <c r="A65" s="12">
        <v>64</v>
      </c>
      <c r="B65" s="13">
        <v>64</v>
      </c>
      <c r="C65" s="13">
        <v>64</v>
      </c>
      <c r="D65" s="13">
        <v>66</v>
      </c>
      <c r="E65" s="13">
        <v>85</v>
      </c>
      <c r="F65" s="14">
        <f t="shared" si="0"/>
        <v>4</v>
      </c>
      <c r="G65" s="13">
        <v>4</v>
      </c>
      <c r="H65" s="13">
        <v>4</v>
      </c>
      <c r="I65" s="13">
        <v>4</v>
      </c>
      <c r="J65" s="13">
        <v>4</v>
      </c>
      <c r="K65" s="15" t="s">
        <v>372</v>
      </c>
      <c r="L65" s="15" t="s">
        <v>815</v>
      </c>
      <c r="M65" s="15" t="s">
        <v>816</v>
      </c>
      <c r="N65" s="15" t="s">
        <v>817</v>
      </c>
      <c r="O65" s="15" t="s">
        <v>375</v>
      </c>
      <c r="P65" s="15" t="s">
        <v>376</v>
      </c>
      <c r="Q65" s="15" t="s">
        <v>32</v>
      </c>
      <c r="R65" s="15" t="s">
        <v>818</v>
      </c>
      <c r="S65" s="15" t="s">
        <v>819</v>
      </c>
      <c r="T65" s="15" t="s">
        <v>88</v>
      </c>
      <c r="U65" s="15" t="s">
        <v>820</v>
      </c>
      <c r="V65" s="15" t="s">
        <v>380</v>
      </c>
      <c r="W65" s="15" t="s">
        <v>381</v>
      </c>
      <c r="X65" s="15" t="s">
        <v>820</v>
      </c>
      <c r="Y65" s="15" t="s">
        <v>382</v>
      </c>
      <c r="Z65" s="15" t="s">
        <v>821</v>
      </c>
      <c r="AA65" s="15" t="s">
        <v>57</v>
      </c>
    </row>
    <row r="66" spans="1:27">
      <c r="A66" s="8">
        <v>65</v>
      </c>
      <c r="B66" s="9">
        <v>65</v>
      </c>
      <c r="C66" s="9">
        <v>65</v>
      </c>
      <c r="D66" s="9">
        <v>67</v>
      </c>
      <c r="E66" s="9">
        <v>86</v>
      </c>
      <c r="F66" s="10">
        <f t="shared" ref="F66:F129" si="1">ROUND(0.35*G66+0.35*H66+0.2*I66+0.1*J66,2)</f>
        <v>4</v>
      </c>
      <c r="G66" s="9">
        <v>4</v>
      </c>
      <c r="H66" s="9">
        <v>4</v>
      </c>
      <c r="I66" s="9">
        <v>4</v>
      </c>
      <c r="J66" s="9">
        <v>4</v>
      </c>
      <c r="K66" s="11" t="s">
        <v>423</v>
      </c>
      <c r="L66" s="11" t="s">
        <v>822</v>
      </c>
      <c r="M66" s="11" t="s">
        <v>823</v>
      </c>
      <c r="N66" s="11" t="s">
        <v>824</v>
      </c>
      <c r="O66" s="11" t="s">
        <v>375</v>
      </c>
      <c r="P66" s="11" t="s">
        <v>376</v>
      </c>
      <c r="Q66" s="11" t="s">
        <v>32</v>
      </c>
      <c r="R66" s="11" t="s">
        <v>825</v>
      </c>
      <c r="S66" s="11" t="s">
        <v>826</v>
      </c>
      <c r="T66" s="11" t="s">
        <v>88</v>
      </c>
      <c r="U66" s="11" t="s">
        <v>827</v>
      </c>
      <c r="V66" s="11" t="s">
        <v>380</v>
      </c>
      <c r="W66" s="11" t="s">
        <v>381</v>
      </c>
      <c r="X66" s="11" t="s">
        <v>827</v>
      </c>
      <c r="Y66" s="11" t="s">
        <v>382</v>
      </c>
      <c r="Z66" s="11" t="s">
        <v>828</v>
      </c>
      <c r="AA66" s="11" t="s">
        <v>92</v>
      </c>
    </row>
    <row r="67" spans="1:27">
      <c r="A67" s="12">
        <v>66</v>
      </c>
      <c r="B67" s="13">
        <v>109</v>
      </c>
      <c r="C67" s="13">
        <v>66</v>
      </c>
      <c r="D67" s="13">
        <v>42</v>
      </c>
      <c r="E67" s="13">
        <v>46</v>
      </c>
      <c r="F67" s="14">
        <f t="shared" si="1"/>
        <v>3.95</v>
      </c>
      <c r="G67" s="13">
        <v>3</v>
      </c>
      <c r="H67" s="13">
        <v>4</v>
      </c>
      <c r="I67" s="13">
        <v>5</v>
      </c>
      <c r="J67" s="13">
        <v>5</v>
      </c>
      <c r="K67" s="15" t="s">
        <v>423</v>
      </c>
      <c r="L67" s="15" t="s">
        <v>829</v>
      </c>
      <c r="M67" s="15" t="s">
        <v>830</v>
      </c>
      <c r="N67" s="15" t="s">
        <v>831</v>
      </c>
      <c r="O67" s="15" t="s">
        <v>375</v>
      </c>
      <c r="P67" s="15" t="s">
        <v>376</v>
      </c>
      <c r="Q67" s="15" t="s">
        <v>32</v>
      </c>
      <c r="R67" s="15" t="s">
        <v>832</v>
      </c>
      <c r="S67" s="15" t="s">
        <v>833</v>
      </c>
      <c r="T67" s="15" t="s">
        <v>88</v>
      </c>
      <c r="U67" s="15" t="s">
        <v>834</v>
      </c>
      <c r="V67" s="15" t="s">
        <v>380</v>
      </c>
      <c r="W67" s="15" t="s">
        <v>381</v>
      </c>
      <c r="X67" s="15" t="s">
        <v>834</v>
      </c>
      <c r="Y67" s="15" t="s">
        <v>382</v>
      </c>
      <c r="Z67" s="15" t="s">
        <v>835</v>
      </c>
      <c r="AA67" s="15" t="s">
        <v>246</v>
      </c>
    </row>
    <row r="68" spans="1:27">
      <c r="A68" s="8">
        <v>67</v>
      </c>
      <c r="B68" s="9">
        <v>110</v>
      </c>
      <c r="C68" s="9">
        <v>67</v>
      </c>
      <c r="D68" s="9">
        <v>43</v>
      </c>
      <c r="E68" s="9">
        <v>47</v>
      </c>
      <c r="F68" s="10">
        <f t="shared" si="1"/>
        <v>3.95</v>
      </c>
      <c r="G68" s="9">
        <v>3</v>
      </c>
      <c r="H68" s="9">
        <v>4</v>
      </c>
      <c r="I68" s="9">
        <v>5</v>
      </c>
      <c r="J68" s="9">
        <v>5</v>
      </c>
      <c r="K68" s="11" t="s">
        <v>372</v>
      </c>
      <c r="L68" s="11" t="s">
        <v>836</v>
      </c>
      <c r="M68" s="11" t="s">
        <v>837</v>
      </c>
      <c r="N68" s="11" t="s">
        <v>838</v>
      </c>
      <c r="O68" s="11" t="s">
        <v>375</v>
      </c>
      <c r="P68" s="11" t="s">
        <v>376</v>
      </c>
      <c r="Q68" s="11" t="s">
        <v>32</v>
      </c>
      <c r="R68" s="11" t="s">
        <v>839</v>
      </c>
      <c r="S68" s="11" t="s">
        <v>840</v>
      </c>
      <c r="T68" s="11" t="s">
        <v>88</v>
      </c>
      <c r="U68" s="11" t="s">
        <v>841</v>
      </c>
      <c r="V68" s="11" t="s">
        <v>380</v>
      </c>
      <c r="W68" s="11" t="s">
        <v>381</v>
      </c>
      <c r="X68" s="11" t="s">
        <v>841</v>
      </c>
      <c r="Y68" s="11" t="s">
        <v>382</v>
      </c>
      <c r="Z68" s="11" t="s">
        <v>842</v>
      </c>
      <c r="AA68" s="11" t="s">
        <v>843</v>
      </c>
    </row>
    <row r="69" spans="1:27">
      <c r="A69" s="12">
        <v>68</v>
      </c>
      <c r="B69" s="13">
        <v>66</v>
      </c>
      <c r="C69" s="13">
        <v>68</v>
      </c>
      <c r="D69" s="13">
        <v>81</v>
      </c>
      <c r="E69" s="13">
        <v>48</v>
      </c>
      <c r="F69" s="14">
        <f t="shared" si="1"/>
        <v>3.9</v>
      </c>
      <c r="G69" s="13">
        <v>4</v>
      </c>
      <c r="H69" s="13">
        <v>4</v>
      </c>
      <c r="I69" s="13">
        <v>3</v>
      </c>
      <c r="J69" s="13">
        <v>5</v>
      </c>
      <c r="K69" s="15" t="s">
        <v>423</v>
      </c>
      <c r="L69" s="15" t="s">
        <v>844</v>
      </c>
      <c r="M69" s="15" t="s">
        <v>845</v>
      </c>
      <c r="N69" s="15" t="s">
        <v>846</v>
      </c>
      <c r="O69" s="15" t="s">
        <v>375</v>
      </c>
      <c r="P69" s="15" t="s">
        <v>376</v>
      </c>
      <c r="Q69" s="15" t="s">
        <v>193</v>
      </c>
      <c r="R69" s="15" t="s">
        <v>847</v>
      </c>
      <c r="S69" s="15" t="s">
        <v>848</v>
      </c>
      <c r="T69" s="15" t="s">
        <v>88</v>
      </c>
      <c r="U69" s="15" t="s">
        <v>849</v>
      </c>
      <c r="V69" s="15" t="s">
        <v>380</v>
      </c>
      <c r="W69" s="15" t="s">
        <v>381</v>
      </c>
      <c r="X69" s="15" t="s">
        <v>849</v>
      </c>
      <c r="Y69" s="15" t="s">
        <v>382</v>
      </c>
      <c r="Z69" s="15" t="s">
        <v>850</v>
      </c>
      <c r="AA69" s="15" t="s">
        <v>851</v>
      </c>
    </row>
    <row r="70" spans="1:27">
      <c r="A70" s="8">
        <v>69</v>
      </c>
      <c r="B70" s="9">
        <v>67</v>
      </c>
      <c r="C70" s="9">
        <v>69</v>
      </c>
      <c r="D70" s="9">
        <v>82</v>
      </c>
      <c r="E70" s="9">
        <v>49</v>
      </c>
      <c r="F70" s="10">
        <f t="shared" si="1"/>
        <v>3.9</v>
      </c>
      <c r="G70" s="9">
        <v>4</v>
      </c>
      <c r="H70" s="9">
        <v>4</v>
      </c>
      <c r="I70" s="9">
        <v>3</v>
      </c>
      <c r="J70" s="9">
        <v>5</v>
      </c>
      <c r="K70" s="11" t="s">
        <v>423</v>
      </c>
      <c r="L70" s="11" t="s">
        <v>852</v>
      </c>
      <c r="M70" s="11" t="s">
        <v>853</v>
      </c>
      <c r="N70" s="11" t="s">
        <v>854</v>
      </c>
      <c r="O70" s="11" t="s">
        <v>375</v>
      </c>
      <c r="P70" s="11" t="s">
        <v>376</v>
      </c>
      <c r="Q70" s="11" t="s">
        <v>193</v>
      </c>
      <c r="R70" s="11" t="s">
        <v>855</v>
      </c>
      <c r="S70" s="11" t="s">
        <v>856</v>
      </c>
      <c r="T70" s="11" t="s">
        <v>88</v>
      </c>
      <c r="U70" s="11" t="s">
        <v>857</v>
      </c>
      <c r="V70" s="11" t="s">
        <v>380</v>
      </c>
      <c r="W70" s="11" t="s">
        <v>381</v>
      </c>
      <c r="X70" s="11" t="s">
        <v>857</v>
      </c>
      <c r="Y70" s="11" t="s">
        <v>382</v>
      </c>
      <c r="Z70" s="11" t="s">
        <v>858</v>
      </c>
      <c r="AA70" s="11" t="s">
        <v>859</v>
      </c>
    </row>
    <row r="71" spans="1:27">
      <c r="A71" s="12">
        <v>70</v>
      </c>
      <c r="B71" s="13">
        <v>68</v>
      </c>
      <c r="C71" s="13">
        <v>70</v>
      </c>
      <c r="D71" s="13">
        <v>83</v>
      </c>
      <c r="E71" s="13">
        <v>50</v>
      </c>
      <c r="F71" s="14">
        <f t="shared" si="1"/>
        <v>3.9</v>
      </c>
      <c r="G71" s="13">
        <v>4</v>
      </c>
      <c r="H71" s="13">
        <v>4</v>
      </c>
      <c r="I71" s="13">
        <v>3</v>
      </c>
      <c r="J71" s="13">
        <v>5</v>
      </c>
      <c r="K71" s="15" t="s">
        <v>423</v>
      </c>
      <c r="L71" s="15" t="s">
        <v>860</v>
      </c>
      <c r="M71" s="15" t="s">
        <v>861</v>
      </c>
      <c r="N71" s="15" t="s">
        <v>862</v>
      </c>
      <c r="O71" s="15" t="s">
        <v>375</v>
      </c>
      <c r="P71" s="15" t="s">
        <v>376</v>
      </c>
      <c r="Q71" s="15" t="s">
        <v>193</v>
      </c>
      <c r="R71" s="15" t="s">
        <v>863</v>
      </c>
      <c r="S71" s="15" t="s">
        <v>864</v>
      </c>
      <c r="T71" s="15" t="s">
        <v>88</v>
      </c>
      <c r="U71" s="15" t="s">
        <v>865</v>
      </c>
      <c r="V71" s="15" t="s">
        <v>380</v>
      </c>
      <c r="W71" s="15" t="s">
        <v>381</v>
      </c>
      <c r="X71" s="15" t="s">
        <v>865</v>
      </c>
      <c r="Y71" s="15" t="s">
        <v>382</v>
      </c>
      <c r="Z71" s="15" t="s">
        <v>866</v>
      </c>
      <c r="AA71" s="15" t="s">
        <v>867</v>
      </c>
    </row>
    <row r="72" spans="1:27">
      <c r="A72" s="8">
        <v>71</v>
      </c>
      <c r="B72" s="9">
        <v>69</v>
      </c>
      <c r="C72" s="9">
        <v>71</v>
      </c>
      <c r="D72" s="9">
        <v>68</v>
      </c>
      <c r="E72" s="9">
        <v>145</v>
      </c>
      <c r="F72" s="10">
        <f t="shared" si="1"/>
        <v>3.9</v>
      </c>
      <c r="G72" s="9">
        <v>4</v>
      </c>
      <c r="H72" s="9">
        <v>4</v>
      </c>
      <c r="I72" s="9">
        <v>4</v>
      </c>
      <c r="J72" s="9">
        <v>3</v>
      </c>
      <c r="K72" s="11" t="s">
        <v>372</v>
      </c>
      <c r="L72" s="11" t="s">
        <v>868</v>
      </c>
      <c r="M72" s="11" t="s">
        <v>869</v>
      </c>
      <c r="N72" s="11" t="s">
        <v>870</v>
      </c>
      <c r="O72" s="11" t="s">
        <v>375</v>
      </c>
      <c r="P72" s="11" t="s">
        <v>376</v>
      </c>
      <c r="Q72" s="11" t="s">
        <v>32</v>
      </c>
      <c r="R72" s="11" t="s">
        <v>871</v>
      </c>
      <c r="S72" s="11" t="s">
        <v>872</v>
      </c>
      <c r="T72" s="11" t="s">
        <v>88</v>
      </c>
      <c r="U72" s="11" t="s">
        <v>873</v>
      </c>
      <c r="V72" s="11" t="s">
        <v>380</v>
      </c>
      <c r="W72" s="11" t="s">
        <v>381</v>
      </c>
      <c r="X72" s="11" t="s">
        <v>873</v>
      </c>
      <c r="Y72" s="11" t="s">
        <v>382</v>
      </c>
      <c r="Z72" s="11" t="s">
        <v>874</v>
      </c>
      <c r="AA72" s="11" t="s">
        <v>57</v>
      </c>
    </row>
    <row r="73" spans="1:27">
      <c r="A73" s="12">
        <v>72</v>
      </c>
      <c r="B73" s="13">
        <v>70</v>
      </c>
      <c r="C73" s="13">
        <v>72</v>
      </c>
      <c r="D73" s="13">
        <v>84</v>
      </c>
      <c r="E73" s="13">
        <v>51</v>
      </c>
      <c r="F73" s="14">
        <f t="shared" si="1"/>
        <v>3.9</v>
      </c>
      <c r="G73" s="13">
        <v>4</v>
      </c>
      <c r="H73" s="13">
        <v>4</v>
      </c>
      <c r="I73" s="13">
        <v>3</v>
      </c>
      <c r="J73" s="13">
        <v>5</v>
      </c>
      <c r="K73" s="15" t="s">
        <v>423</v>
      </c>
      <c r="L73" s="15" t="s">
        <v>875</v>
      </c>
      <c r="M73" s="15" t="s">
        <v>876</v>
      </c>
      <c r="N73" s="15" t="s">
        <v>877</v>
      </c>
      <c r="O73" s="15" t="s">
        <v>375</v>
      </c>
      <c r="P73" s="15" t="s">
        <v>376</v>
      </c>
      <c r="Q73" s="15" t="s">
        <v>193</v>
      </c>
      <c r="R73" s="15" t="s">
        <v>878</v>
      </c>
      <c r="S73" s="15" t="s">
        <v>879</v>
      </c>
      <c r="T73" s="15" t="s">
        <v>88</v>
      </c>
      <c r="U73" s="15" t="s">
        <v>880</v>
      </c>
      <c r="V73" s="15" t="s">
        <v>380</v>
      </c>
      <c r="W73" s="15" t="s">
        <v>381</v>
      </c>
      <c r="X73" s="15" t="s">
        <v>880</v>
      </c>
      <c r="Y73" s="15" t="s">
        <v>382</v>
      </c>
      <c r="Z73" s="15" t="s">
        <v>881</v>
      </c>
      <c r="AA73" s="15" t="s">
        <v>882</v>
      </c>
    </row>
    <row r="74" spans="1:27">
      <c r="A74" s="8">
        <v>73</v>
      </c>
      <c r="B74" s="9">
        <v>71</v>
      </c>
      <c r="C74" s="9">
        <v>73</v>
      </c>
      <c r="D74" s="9">
        <v>85</v>
      </c>
      <c r="E74" s="9">
        <v>52</v>
      </c>
      <c r="F74" s="10">
        <f t="shared" si="1"/>
        <v>3.9</v>
      </c>
      <c r="G74" s="9">
        <v>4</v>
      </c>
      <c r="H74" s="9">
        <v>4</v>
      </c>
      <c r="I74" s="9">
        <v>3</v>
      </c>
      <c r="J74" s="9">
        <v>5</v>
      </c>
      <c r="K74" s="11" t="s">
        <v>423</v>
      </c>
      <c r="L74" s="11" t="s">
        <v>883</v>
      </c>
      <c r="M74" s="11" t="s">
        <v>884</v>
      </c>
      <c r="N74" s="11" t="s">
        <v>885</v>
      </c>
      <c r="O74" s="11" t="s">
        <v>375</v>
      </c>
      <c r="P74" s="11" t="s">
        <v>376</v>
      </c>
      <c r="Q74" s="11" t="s">
        <v>193</v>
      </c>
      <c r="R74" s="11" t="s">
        <v>886</v>
      </c>
      <c r="S74" s="11" t="s">
        <v>887</v>
      </c>
      <c r="T74" s="11" t="s">
        <v>88</v>
      </c>
      <c r="U74" s="11" t="s">
        <v>888</v>
      </c>
      <c r="V74" s="11" t="s">
        <v>380</v>
      </c>
      <c r="W74" s="11" t="s">
        <v>381</v>
      </c>
      <c r="X74" s="11" t="s">
        <v>888</v>
      </c>
      <c r="Y74" s="11" t="s">
        <v>382</v>
      </c>
      <c r="Z74" s="11" t="s">
        <v>889</v>
      </c>
      <c r="AA74" s="11" t="s">
        <v>890</v>
      </c>
    </row>
    <row r="75" spans="1:27">
      <c r="A75" s="12">
        <v>74</v>
      </c>
      <c r="B75" s="13">
        <v>72</v>
      </c>
      <c r="C75" s="13">
        <v>74</v>
      </c>
      <c r="D75" s="13">
        <v>86</v>
      </c>
      <c r="E75" s="13">
        <v>53</v>
      </c>
      <c r="F75" s="14">
        <f t="shared" si="1"/>
        <v>3.9</v>
      </c>
      <c r="G75" s="13">
        <v>4</v>
      </c>
      <c r="H75" s="13">
        <v>4</v>
      </c>
      <c r="I75" s="13">
        <v>3</v>
      </c>
      <c r="J75" s="13">
        <v>5</v>
      </c>
      <c r="K75" s="15" t="s">
        <v>423</v>
      </c>
      <c r="L75" s="15" t="s">
        <v>891</v>
      </c>
      <c r="M75" s="15" t="s">
        <v>892</v>
      </c>
      <c r="N75" s="15" t="s">
        <v>893</v>
      </c>
      <c r="O75" s="15" t="s">
        <v>375</v>
      </c>
      <c r="P75" s="15" t="s">
        <v>376</v>
      </c>
      <c r="Q75" s="15" t="s">
        <v>193</v>
      </c>
      <c r="R75" s="15" t="s">
        <v>894</v>
      </c>
      <c r="S75" s="15" t="s">
        <v>895</v>
      </c>
      <c r="T75" s="15" t="s">
        <v>88</v>
      </c>
      <c r="U75" s="15" t="s">
        <v>896</v>
      </c>
      <c r="V75" s="15" t="s">
        <v>380</v>
      </c>
      <c r="W75" s="15" t="s">
        <v>381</v>
      </c>
      <c r="X75" s="15" t="s">
        <v>896</v>
      </c>
      <c r="Y75" s="15" t="s">
        <v>382</v>
      </c>
      <c r="Z75" s="15" t="s">
        <v>897</v>
      </c>
      <c r="AA75" s="15" t="s">
        <v>898</v>
      </c>
    </row>
    <row r="76" spans="1:27">
      <c r="A76" s="8">
        <v>75</v>
      </c>
      <c r="B76" s="9">
        <v>26</v>
      </c>
      <c r="C76" s="9">
        <v>90</v>
      </c>
      <c r="D76" s="9">
        <v>87</v>
      </c>
      <c r="E76" s="9">
        <v>54</v>
      </c>
      <c r="F76" s="10">
        <f t="shared" si="1"/>
        <v>3.9</v>
      </c>
      <c r="G76" s="9">
        <v>5</v>
      </c>
      <c r="H76" s="9">
        <v>3</v>
      </c>
      <c r="I76" s="9">
        <v>3</v>
      </c>
      <c r="J76" s="9">
        <v>5</v>
      </c>
      <c r="K76" s="11" t="s">
        <v>423</v>
      </c>
      <c r="L76" s="11" t="s">
        <v>899</v>
      </c>
      <c r="M76" s="11" t="s">
        <v>900</v>
      </c>
      <c r="N76" s="11" t="s">
        <v>901</v>
      </c>
      <c r="O76" s="11" t="s">
        <v>375</v>
      </c>
      <c r="P76" s="11" t="s">
        <v>376</v>
      </c>
      <c r="Q76" s="11" t="s">
        <v>193</v>
      </c>
      <c r="R76" s="11" t="s">
        <v>902</v>
      </c>
      <c r="S76" s="11" t="s">
        <v>903</v>
      </c>
      <c r="T76" s="11" t="s">
        <v>185</v>
      </c>
      <c r="U76" s="11" t="s">
        <v>904</v>
      </c>
      <c r="V76" s="11" t="s">
        <v>380</v>
      </c>
      <c r="W76" s="11" t="s">
        <v>381</v>
      </c>
      <c r="X76" s="11" t="s">
        <v>904</v>
      </c>
      <c r="Y76" s="11" t="s">
        <v>382</v>
      </c>
      <c r="Z76" s="11" t="s">
        <v>905</v>
      </c>
      <c r="AA76" s="11" t="s">
        <v>906</v>
      </c>
    </row>
    <row r="77" spans="1:27">
      <c r="A77" s="12">
        <v>76</v>
      </c>
      <c r="B77" s="13">
        <v>111</v>
      </c>
      <c r="C77" s="13">
        <v>75</v>
      </c>
      <c r="D77" s="13">
        <v>44</v>
      </c>
      <c r="E77" s="13">
        <v>87</v>
      </c>
      <c r="F77" s="14">
        <f t="shared" si="1"/>
        <v>3.85</v>
      </c>
      <c r="G77" s="13">
        <v>3</v>
      </c>
      <c r="H77" s="13">
        <v>4</v>
      </c>
      <c r="I77" s="13">
        <v>5</v>
      </c>
      <c r="J77" s="13">
        <v>4</v>
      </c>
      <c r="K77" s="15" t="s">
        <v>423</v>
      </c>
      <c r="L77" s="15" t="s">
        <v>907</v>
      </c>
      <c r="M77" s="15" t="s">
        <v>908</v>
      </c>
      <c r="N77" s="15" t="s">
        <v>909</v>
      </c>
      <c r="O77" s="15" t="s">
        <v>375</v>
      </c>
      <c r="P77" s="15" t="s">
        <v>376</v>
      </c>
      <c r="Q77" s="15" t="s">
        <v>32</v>
      </c>
      <c r="R77" s="15" t="s">
        <v>910</v>
      </c>
      <c r="S77" s="15" t="s">
        <v>911</v>
      </c>
      <c r="T77" s="15" t="s">
        <v>88</v>
      </c>
      <c r="U77" s="15" t="s">
        <v>912</v>
      </c>
      <c r="V77" s="15" t="s">
        <v>380</v>
      </c>
      <c r="W77" s="15" t="s">
        <v>381</v>
      </c>
      <c r="X77" s="15" t="s">
        <v>912</v>
      </c>
      <c r="Y77" s="15" t="s">
        <v>382</v>
      </c>
      <c r="Z77" s="15" t="s">
        <v>913</v>
      </c>
      <c r="AA77" s="15" t="s">
        <v>914</v>
      </c>
    </row>
    <row r="78" spans="1:27">
      <c r="A78" s="8">
        <v>77</v>
      </c>
      <c r="B78" s="9">
        <v>112</v>
      </c>
      <c r="C78" s="9">
        <v>76</v>
      </c>
      <c r="D78" s="9">
        <v>45</v>
      </c>
      <c r="E78" s="9">
        <v>88</v>
      </c>
      <c r="F78" s="10">
        <f t="shared" si="1"/>
        <v>3.85</v>
      </c>
      <c r="G78" s="9">
        <v>3</v>
      </c>
      <c r="H78" s="9">
        <v>4</v>
      </c>
      <c r="I78" s="9">
        <v>5</v>
      </c>
      <c r="J78" s="9">
        <v>4</v>
      </c>
      <c r="K78" s="11" t="s">
        <v>372</v>
      </c>
      <c r="L78" s="11" t="s">
        <v>915</v>
      </c>
      <c r="M78" s="11" t="s">
        <v>916</v>
      </c>
      <c r="N78" s="11" t="s">
        <v>917</v>
      </c>
      <c r="O78" s="11" t="s">
        <v>375</v>
      </c>
      <c r="P78" s="11" t="s">
        <v>376</v>
      </c>
      <c r="Q78" s="11" t="s">
        <v>32</v>
      </c>
      <c r="R78" s="11" t="s">
        <v>918</v>
      </c>
      <c r="S78" s="11" t="s">
        <v>919</v>
      </c>
      <c r="T78" s="11" t="s">
        <v>88</v>
      </c>
      <c r="U78" s="11" t="s">
        <v>920</v>
      </c>
      <c r="V78" s="11" t="s">
        <v>380</v>
      </c>
      <c r="W78" s="11" t="s">
        <v>381</v>
      </c>
      <c r="X78" s="11" t="s">
        <v>920</v>
      </c>
      <c r="Y78" s="11" t="s">
        <v>382</v>
      </c>
      <c r="Z78" s="11" t="s">
        <v>921</v>
      </c>
      <c r="AA78" s="11" t="s">
        <v>57</v>
      </c>
    </row>
    <row r="79" spans="1:27">
      <c r="A79" s="12">
        <v>78</v>
      </c>
      <c r="B79" s="13">
        <v>113</v>
      </c>
      <c r="C79" s="13">
        <v>77</v>
      </c>
      <c r="D79" s="13">
        <v>46</v>
      </c>
      <c r="E79" s="13">
        <v>89</v>
      </c>
      <c r="F79" s="14">
        <f t="shared" si="1"/>
        <v>3.85</v>
      </c>
      <c r="G79" s="13">
        <v>3</v>
      </c>
      <c r="H79" s="13">
        <v>4</v>
      </c>
      <c r="I79" s="13">
        <v>5</v>
      </c>
      <c r="J79" s="13">
        <v>4</v>
      </c>
      <c r="K79" s="15" t="s">
        <v>372</v>
      </c>
      <c r="L79" s="15" t="s">
        <v>922</v>
      </c>
      <c r="M79" s="15" t="s">
        <v>923</v>
      </c>
      <c r="N79" s="15" t="s">
        <v>924</v>
      </c>
      <c r="O79" s="15" t="s">
        <v>375</v>
      </c>
      <c r="P79" s="15" t="s">
        <v>376</v>
      </c>
      <c r="Q79" s="15" t="s">
        <v>32</v>
      </c>
      <c r="R79" s="15" t="s">
        <v>925</v>
      </c>
      <c r="S79" s="15" t="s">
        <v>926</v>
      </c>
      <c r="T79" s="15" t="s">
        <v>88</v>
      </c>
      <c r="U79" s="15" t="s">
        <v>927</v>
      </c>
      <c r="V79" s="15" t="s">
        <v>380</v>
      </c>
      <c r="W79" s="15" t="s">
        <v>381</v>
      </c>
      <c r="X79" s="15" t="s">
        <v>927</v>
      </c>
      <c r="Y79" s="15" t="s">
        <v>382</v>
      </c>
      <c r="Z79" s="15" t="s">
        <v>928</v>
      </c>
      <c r="AA79" s="15" t="s">
        <v>57</v>
      </c>
    </row>
    <row r="80" spans="1:27">
      <c r="A80" s="8">
        <v>79</v>
      </c>
      <c r="B80" s="9">
        <v>114</v>
      </c>
      <c r="C80" s="9">
        <v>78</v>
      </c>
      <c r="D80" s="9">
        <v>47</v>
      </c>
      <c r="E80" s="9">
        <v>90</v>
      </c>
      <c r="F80" s="10">
        <f t="shared" si="1"/>
        <v>3.85</v>
      </c>
      <c r="G80" s="9">
        <v>3</v>
      </c>
      <c r="H80" s="9">
        <v>4</v>
      </c>
      <c r="I80" s="9">
        <v>5</v>
      </c>
      <c r="J80" s="9">
        <v>4</v>
      </c>
      <c r="K80" s="11" t="s">
        <v>929</v>
      </c>
      <c r="L80" s="11" t="s">
        <v>930</v>
      </c>
      <c r="M80" s="11" t="s">
        <v>931</v>
      </c>
      <c r="N80" s="11" t="s">
        <v>932</v>
      </c>
      <c r="O80" s="11" t="s">
        <v>375</v>
      </c>
      <c r="P80" s="11" t="s">
        <v>376</v>
      </c>
      <c r="Q80" s="11" t="s">
        <v>32</v>
      </c>
      <c r="R80" s="11" t="s">
        <v>933</v>
      </c>
      <c r="S80" s="11" t="s">
        <v>934</v>
      </c>
      <c r="T80" s="11" t="s">
        <v>88</v>
      </c>
      <c r="U80" s="11" t="s">
        <v>935</v>
      </c>
      <c r="V80" s="11" t="s">
        <v>380</v>
      </c>
      <c r="W80" s="11" t="s">
        <v>381</v>
      </c>
      <c r="X80" s="11" t="s">
        <v>935</v>
      </c>
      <c r="Y80" s="11" t="s">
        <v>382</v>
      </c>
      <c r="Z80" s="11" t="s">
        <v>936</v>
      </c>
      <c r="AA80" s="11" t="s">
        <v>937</v>
      </c>
    </row>
    <row r="81" spans="1:27">
      <c r="A81" s="12">
        <v>80</v>
      </c>
      <c r="B81" s="13">
        <v>115</v>
      </c>
      <c r="C81" s="13">
        <v>79</v>
      </c>
      <c r="D81" s="13">
        <v>48</v>
      </c>
      <c r="E81" s="13">
        <v>91</v>
      </c>
      <c r="F81" s="14">
        <f t="shared" si="1"/>
        <v>3.85</v>
      </c>
      <c r="G81" s="13">
        <v>3</v>
      </c>
      <c r="H81" s="13">
        <v>4</v>
      </c>
      <c r="I81" s="13">
        <v>5</v>
      </c>
      <c r="J81" s="13">
        <v>4</v>
      </c>
      <c r="K81" s="15" t="s">
        <v>372</v>
      </c>
      <c r="L81" s="15" t="s">
        <v>938</v>
      </c>
      <c r="M81" s="15" t="s">
        <v>939</v>
      </c>
      <c r="N81" s="15" t="s">
        <v>940</v>
      </c>
      <c r="O81" s="15" t="s">
        <v>375</v>
      </c>
      <c r="P81" s="15" t="s">
        <v>376</v>
      </c>
      <c r="Q81" s="15" t="s">
        <v>32</v>
      </c>
      <c r="R81" s="15" t="s">
        <v>941</v>
      </c>
      <c r="S81" s="15" t="s">
        <v>942</v>
      </c>
      <c r="T81" s="15" t="s">
        <v>88</v>
      </c>
      <c r="U81" s="15" t="s">
        <v>943</v>
      </c>
      <c r="V81" s="15" t="s">
        <v>380</v>
      </c>
      <c r="W81" s="15" t="s">
        <v>381</v>
      </c>
      <c r="X81" s="15" t="s">
        <v>943</v>
      </c>
      <c r="Y81" s="15" t="s">
        <v>382</v>
      </c>
      <c r="Z81" s="15" t="s">
        <v>944</v>
      </c>
      <c r="AA81" s="15" t="s">
        <v>57</v>
      </c>
    </row>
    <row r="82" spans="1:27">
      <c r="A82" s="8">
        <v>81</v>
      </c>
      <c r="B82" s="9">
        <v>73</v>
      </c>
      <c r="C82" s="9">
        <v>80</v>
      </c>
      <c r="D82" s="9">
        <v>88</v>
      </c>
      <c r="E82" s="9">
        <v>92</v>
      </c>
      <c r="F82" s="10">
        <f t="shared" si="1"/>
        <v>3.8</v>
      </c>
      <c r="G82" s="9">
        <v>4</v>
      </c>
      <c r="H82" s="9">
        <v>4</v>
      </c>
      <c r="I82" s="9">
        <v>3</v>
      </c>
      <c r="J82" s="9">
        <v>4</v>
      </c>
      <c r="K82" s="11" t="s">
        <v>372</v>
      </c>
      <c r="L82" s="11" t="s">
        <v>945</v>
      </c>
      <c r="M82" s="11" t="s">
        <v>808</v>
      </c>
      <c r="N82" s="11" t="s">
        <v>946</v>
      </c>
      <c r="O82" s="11" t="s">
        <v>375</v>
      </c>
      <c r="P82" s="11" t="s">
        <v>376</v>
      </c>
      <c r="Q82" s="11" t="s">
        <v>193</v>
      </c>
      <c r="R82" s="11" t="s">
        <v>947</v>
      </c>
      <c r="S82" s="11" t="s">
        <v>948</v>
      </c>
      <c r="T82" s="11" t="s">
        <v>88</v>
      </c>
      <c r="U82" s="11" t="s">
        <v>949</v>
      </c>
      <c r="V82" s="11" t="s">
        <v>380</v>
      </c>
      <c r="W82" s="11" t="s">
        <v>381</v>
      </c>
      <c r="X82" s="11" t="s">
        <v>949</v>
      </c>
      <c r="Y82" s="11" t="s">
        <v>382</v>
      </c>
      <c r="Z82" s="11" t="s">
        <v>950</v>
      </c>
      <c r="AA82" s="11" t="s">
        <v>951</v>
      </c>
    </row>
    <row r="83" spans="1:27">
      <c r="A83" s="12">
        <v>82</v>
      </c>
      <c r="B83" s="13">
        <v>74</v>
      </c>
      <c r="C83" s="13">
        <v>81</v>
      </c>
      <c r="D83" s="13">
        <v>89</v>
      </c>
      <c r="E83" s="13">
        <v>93</v>
      </c>
      <c r="F83" s="14">
        <f t="shared" si="1"/>
        <v>3.8</v>
      </c>
      <c r="G83" s="13">
        <v>4</v>
      </c>
      <c r="H83" s="13">
        <v>4</v>
      </c>
      <c r="I83" s="13">
        <v>3</v>
      </c>
      <c r="J83" s="13">
        <v>4</v>
      </c>
      <c r="K83" s="15" t="s">
        <v>423</v>
      </c>
      <c r="L83" s="15" t="s">
        <v>952</v>
      </c>
      <c r="M83" s="15" t="s">
        <v>953</v>
      </c>
      <c r="N83" s="15" t="s">
        <v>954</v>
      </c>
      <c r="O83" s="15" t="s">
        <v>375</v>
      </c>
      <c r="P83" s="15" t="s">
        <v>376</v>
      </c>
      <c r="Q83" s="15" t="s">
        <v>193</v>
      </c>
      <c r="R83" s="15" t="s">
        <v>955</v>
      </c>
      <c r="S83" s="15" t="s">
        <v>956</v>
      </c>
      <c r="T83" s="15" t="s">
        <v>88</v>
      </c>
      <c r="U83" s="15" t="s">
        <v>957</v>
      </c>
      <c r="V83" s="15" t="s">
        <v>380</v>
      </c>
      <c r="W83" s="15" t="s">
        <v>381</v>
      </c>
      <c r="X83" s="15" t="s">
        <v>957</v>
      </c>
      <c r="Y83" s="15" t="s">
        <v>382</v>
      </c>
      <c r="Z83" s="15" t="s">
        <v>958</v>
      </c>
      <c r="AA83" s="15" t="s">
        <v>246</v>
      </c>
    </row>
    <row r="84" spans="1:27">
      <c r="A84" s="8">
        <v>83</v>
      </c>
      <c r="B84" s="9">
        <v>27</v>
      </c>
      <c r="C84" s="9">
        <v>91</v>
      </c>
      <c r="D84" s="9">
        <v>90</v>
      </c>
      <c r="E84" s="9">
        <v>94</v>
      </c>
      <c r="F84" s="10">
        <f t="shared" si="1"/>
        <v>3.8</v>
      </c>
      <c r="G84" s="9">
        <v>5</v>
      </c>
      <c r="H84" s="9">
        <v>3</v>
      </c>
      <c r="I84" s="9">
        <v>3</v>
      </c>
      <c r="J84" s="9">
        <v>4</v>
      </c>
      <c r="K84" s="11" t="s">
        <v>423</v>
      </c>
      <c r="L84" s="11" t="s">
        <v>959</v>
      </c>
      <c r="M84" s="11" t="s">
        <v>960</v>
      </c>
      <c r="N84" s="11" t="s">
        <v>961</v>
      </c>
      <c r="O84" s="11" t="s">
        <v>375</v>
      </c>
      <c r="P84" s="11" t="s">
        <v>376</v>
      </c>
      <c r="Q84" s="11" t="s">
        <v>193</v>
      </c>
      <c r="R84" s="11" t="s">
        <v>962</v>
      </c>
      <c r="S84" s="11" t="s">
        <v>963</v>
      </c>
      <c r="T84" s="11" t="s">
        <v>185</v>
      </c>
      <c r="U84" s="11" t="s">
        <v>964</v>
      </c>
      <c r="V84" s="11" t="s">
        <v>380</v>
      </c>
      <c r="W84" s="11" t="s">
        <v>381</v>
      </c>
      <c r="X84" s="11" t="s">
        <v>964</v>
      </c>
      <c r="Y84" s="11" t="s">
        <v>382</v>
      </c>
      <c r="Z84" s="11" t="s">
        <v>965</v>
      </c>
      <c r="AA84" s="11" t="s">
        <v>906</v>
      </c>
    </row>
    <row r="85" spans="1:27">
      <c r="A85" s="12">
        <v>84</v>
      </c>
      <c r="B85" s="13">
        <v>116</v>
      </c>
      <c r="C85" s="13">
        <v>82</v>
      </c>
      <c r="D85" s="13">
        <v>69</v>
      </c>
      <c r="E85" s="13">
        <v>55</v>
      </c>
      <c r="F85" s="14">
        <f t="shared" si="1"/>
        <v>3.75</v>
      </c>
      <c r="G85" s="13">
        <v>3</v>
      </c>
      <c r="H85" s="13">
        <v>4</v>
      </c>
      <c r="I85" s="13">
        <v>4</v>
      </c>
      <c r="J85" s="13">
        <v>5</v>
      </c>
      <c r="K85" s="15" t="s">
        <v>372</v>
      </c>
      <c r="L85" s="15" t="s">
        <v>966</v>
      </c>
      <c r="M85" s="15" t="s">
        <v>967</v>
      </c>
      <c r="N85" s="15" t="s">
        <v>968</v>
      </c>
      <c r="O85" s="15" t="s">
        <v>375</v>
      </c>
      <c r="P85" s="15" t="s">
        <v>376</v>
      </c>
      <c r="Q85" s="15" t="s">
        <v>32</v>
      </c>
      <c r="R85" s="15" t="s">
        <v>969</v>
      </c>
      <c r="S85" s="15" t="s">
        <v>970</v>
      </c>
      <c r="T85" s="15" t="s">
        <v>88</v>
      </c>
      <c r="U85" s="15" t="s">
        <v>971</v>
      </c>
      <c r="V85" s="15" t="s">
        <v>380</v>
      </c>
      <c r="W85" s="15" t="s">
        <v>381</v>
      </c>
      <c r="X85" s="15" t="s">
        <v>971</v>
      </c>
      <c r="Y85" s="15" t="s">
        <v>382</v>
      </c>
      <c r="Z85" s="15" t="s">
        <v>972</v>
      </c>
      <c r="AA85" s="15" t="s">
        <v>973</v>
      </c>
    </row>
    <row r="86" spans="1:27">
      <c r="A86" s="8">
        <v>85</v>
      </c>
      <c r="B86" s="9">
        <v>117</v>
      </c>
      <c r="C86" s="9">
        <v>83</v>
      </c>
      <c r="D86" s="9">
        <v>70</v>
      </c>
      <c r="E86" s="9">
        <v>56</v>
      </c>
      <c r="F86" s="10">
        <f t="shared" si="1"/>
        <v>3.75</v>
      </c>
      <c r="G86" s="9">
        <v>3</v>
      </c>
      <c r="H86" s="9">
        <v>4</v>
      </c>
      <c r="I86" s="9">
        <v>4</v>
      </c>
      <c r="J86" s="9">
        <v>5</v>
      </c>
      <c r="K86" s="11" t="s">
        <v>372</v>
      </c>
      <c r="L86" s="11" t="s">
        <v>974</v>
      </c>
      <c r="M86" s="11" t="s">
        <v>975</v>
      </c>
      <c r="N86" s="11" t="s">
        <v>976</v>
      </c>
      <c r="O86" s="11" t="s">
        <v>375</v>
      </c>
      <c r="P86" s="11" t="s">
        <v>376</v>
      </c>
      <c r="Q86" s="11" t="s">
        <v>32</v>
      </c>
      <c r="R86" s="11" t="s">
        <v>977</v>
      </c>
      <c r="S86" s="11" t="s">
        <v>978</v>
      </c>
      <c r="T86" s="11" t="s">
        <v>88</v>
      </c>
      <c r="U86" s="11" t="s">
        <v>979</v>
      </c>
      <c r="V86" s="11" t="s">
        <v>380</v>
      </c>
      <c r="W86" s="11" t="s">
        <v>381</v>
      </c>
      <c r="X86" s="11" t="s">
        <v>979</v>
      </c>
      <c r="Y86" s="11" t="s">
        <v>382</v>
      </c>
      <c r="Z86" s="11" t="s">
        <v>980</v>
      </c>
      <c r="AA86" s="11" t="s">
        <v>57</v>
      </c>
    </row>
    <row r="87" spans="1:27">
      <c r="A87" s="12">
        <v>86</v>
      </c>
      <c r="B87" s="13">
        <v>118</v>
      </c>
      <c r="C87" s="13">
        <v>84</v>
      </c>
      <c r="D87" s="13">
        <v>71</v>
      </c>
      <c r="E87" s="13">
        <v>95</v>
      </c>
      <c r="F87" s="14">
        <f t="shared" si="1"/>
        <v>3.65</v>
      </c>
      <c r="G87" s="13">
        <v>3</v>
      </c>
      <c r="H87" s="13">
        <v>4</v>
      </c>
      <c r="I87" s="13">
        <v>4</v>
      </c>
      <c r="J87" s="13">
        <v>4</v>
      </c>
      <c r="K87" s="15" t="s">
        <v>372</v>
      </c>
      <c r="L87" s="15" t="s">
        <v>981</v>
      </c>
      <c r="M87" s="15" t="s">
        <v>982</v>
      </c>
      <c r="N87" s="15" t="s">
        <v>983</v>
      </c>
      <c r="O87" s="15" t="s">
        <v>375</v>
      </c>
      <c r="P87" s="15" t="s">
        <v>376</v>
      </c>
      <c r="Q87" s="15" t="s">
        <v>32</v>
      </c>
      <c r="R87" s="15" t="s">
        <v>984</v>
      </c>
      <c r="S87" s="15" t="s">
        <v>985</v>
      </c>
      <c r="T87" s="15" t="s">
        <v>88</v>
      </c>
      <c r="U87" s="15" t="s">
        <v>986</v>
      </c>
      <c r="V87" s="15" t="s">
        <v>380</v>
      </c>
      <c r="W87" s="15" t="s">
        <v>381</v>
      </c>
      <c r="X87" s="15" t="s">
        <v>986</v>
      </c>
      <c r="Y87" s="15" t="s">
        <v>382</v>
      </c>
      <c r="Z87" s="15" t="s">
        <v>987</v>
      </c>
      <c r="AA87" s="15" t="s">
        <v>988</v>
      </c>
    </row>
    <row r="88" spans="1:27">
      <c r="A88" s="8">
        <v>87</v>
      </c>
      <c r="B88" s="9">
        <v>119</v>
      </c>
      <c r="C88" s="9">
        <v>85</v>
      </c>
      <c r="D88" s="9">
        <v>72</v>
      </c>
      <c r="E88" s="9">
        <v>96</v>
      </c>
      <c r="F88" s="10">
        <f t="shared" si="1"/>
        <v>3.65</v>
      </c>
      <c r="G88" s="9">
        <v>3</v>
      </c>
      <c r="H88" s="9">
        <v>4</v>
      </c>
      <c r="I88" s="9">
        <v>4</v>
      </c>
      <c r="J88" s="9">
        <v>4</v>
      </c>
      <c r="K88" s="11" t="s">
        <v>423</v>
      </c>
      <c r="L88" s="11" t="s">
        <v>989</v>
      </c>
      <c r="M88" s="11" t="s">
        <v>990</v>
      </c>
      <c r="N88" s="11" t="s">
        <v>991</v>
      </c>
      <c r="O88" s="11" t="s">
        <v>375</v>
      </c>
      <c r="P88" s="11" t="s">
        <v>376</v>
      </c>
      <c r="Q88" s="11" t="s">
        <v>32</v>
      </c>
      <c r="R88" s="11" t="s">
        <v>992</v>
      </c>
      <c r="S88" s="11" t="s">
        <v>993</v>
      </c>
      <c r="T88" s="11" t="s">
        <v>88</v>
      </c>
      <c r="U88" s="11" t="s">
        <v>994</v>
      </c>
      <c r="V88" s="11" t="s">
        <v>380</v>
      </c>
      <c r="W88" s="11" t="s">
        <v>381</v>
      </c>
      <c r="X88" s="11" t="s">
        <v>994</v>
      </c>
      <c r="Y88" s="11" t="s">
        <v>382</v>
      </c>
      <c r="Z88" s="11" t="s">
        <v>995</v>
      </c>
      <c r="AA88" s="11" t="s">
        <v>996</v>
      </c>
    </row>
    <row r="89" spans="1:27">
      <c r="A89" s="12">
        <v>88</v>
      </c>
      <c r="B89" s="13">
        <v>120</v>
      </c>
      <c r="C89" s="13">
        <v>86</v>
      </c>
      <c r="D89" s="13">
        <v>73</v>
      </c>
      <c r="E89" s="13">
        <v>97</v>
      </c>
      <c r="F89" s="14">
        <f t="shared" si="1"/>
        <v>3.65</v>
      </c>
      <c r="G89" s="13">
        <v>3</v>
      </c>
      <c r="H89" s="13">
        <v>4</v>
      </c>
      <c r="I89" s="13">
        <v>4</v>
      </c>
      <c r="J89" s="13">
        <v>4</v>
      </c>
      <c r="K89" s="15" t="s">
        <v>372</v>
      </c>
      <c r="L89" s="15" t="s">
        <v>997</v>
      </c>
      <c r="M89" s="15" t="s">
        <v>998</v>
      </c>
      <c r="N89" s="15" t="s">
        <v>999</v>
      </c>
      <c r="O89" s="15" t="s">
        <v>375</v>
      </c>
      <c r="P89" s="15" t="s">
        <v>376</v>
      </c>
      <c r="Q89" s="15" t="s">
        <v>32</v>
      </c>
      <c r="R89" s="15" t="s">
        <v>1000</v>
      </c>
      <c r="S89" s="15" t="s">
        <v>1001</v>
      </c>
      <c r="T89" s="15" t="s">
        <v>88</v>
      </c>
      <c r="U89" s="15" t="s">
        <v>1002</v>
      </c>
      <c r="V89" s="15" t="s">
        <v>380</v>
      </c>
      <c r="W89" s="15" t="s">
        <v>381</v>
      </c>
      <c r="X89" s="15" t="s">
        <v>1002</v>
      </c>
      <c r="Y89" s="15" t="s">
        <v>382</v>
      </c>
      <c r="Z89" s="15" t="s">
        <v>1003</v>
      </c>
      <c r="AA89" s="15" t="s">
        <v>1004</v>
      </c>
    </row>
    <row r="90" spans="1:27">
      <c r="A90" s="8">
        <v>89</v>
      </c>
      <c r="B90" s="9">
        <v>121</v>
      </c>
      <c r="C90" s="9">
        <v>87</v>
      </c>
      <c r="D90" s="9">
        <v>91</v>
      </c>
      <c r="E90" s="9">
        <v>57</v>
      </c>
      <c r="F90" s="10">
        <f t="shared" si="1"/>
        <v>3.55</v>
      </c>
      <c r="G90" s="9">
        <v>3</v>
      </c>
      <c r="H90" s="9">
        <v>4</v>
      </c>
      <c r="I90" s="9">
        <v>3</v>
      </c>
      <c r="J90" s="9">
        <v>5</v>
      </c>
      <c r="K90" s="11" t="s">
        <v>372</v>
      </c>
      <c r="L90" s="11" t="s">
        <v>1005</v>
      </c>
      <c r="M90" s="11" t="s">
        <v>1006</v>
      </c>
      <c r="N90" s="11" t="s">
        <v>1007</v>
      </c>
      <c r="O90" s="11" t="s">
        <v>375</v>
      </c>
      <c r="P90" s="11" t="s">
        <v>376</v>
      </c>
      <c r="Q90" s="11" t="s">
        <v>193</v>
      </c>
      <c r="R90" s="11" t="s">
        <v>1008</v>
      </c>
      <c r="S90" s="11" t="s">
        <v>1009</v>
      </c>
      <c r="T90" s="11" t="s">
        <v>88</v>
      </c>
      <c r="U90" s="11" t="s">
        <v>1010</v>
      </c>
      <c r="V90" s="11" t="s">
        <v>380</v>
      </c>
      <c r="W90" s="11" t="s">
        <v>381</v>
      </c>
      <c r="X90" s="11" t="s">
        <v>1010</v>
      </c>
      <c r="Y90" s="11" t="s">
        <v>382</v>
      </c>
      <c r="Z90" s="11" t="s">
        <v>1011</v>
      </c>
      <c r="AA90" s="11" t="s">
        <v>1012</v>
      </c>
    </row>
    <row r="91" spans="1:27">
      <c r="A91" s="12">
        <v>90</v>
      </c>
      <c r="B91" s="13">
        <v>122</v>
      </c>
      <c r="C91" s="13">
        <v>88</v>
      </c>
      <c r="D91" s="13">
        <v>74</v>
      </c>
      <c r="E91" s="13">
        <v>146</v>
      </c>
      <c r="F91" s="14">
        <f t="shared" si="1"/>
        <v>3.55</v>
      </c>
      <c r="G91" s="13">
        <v>3</v>
      </c>
      <c r="H91" s="13">
        <v>4</v>
      </c>
      <c r="I91" s="13">
        <v>4</v>
      </c>
      <c r="J91" s="13">
        <v>3</v>
      </c>
      <c r="K91" s="15" t="s">
        <v>372</v>
      </c>
      <c r="L91" s="15" t="s">
        <v>1013</v>
      </c>
      <c r="M91" s="15" t="s">
        <v>1014</v>
      </c>
      <c r="N91" s="15" t="s">
        <v>1015</v>
      </c>
      <c r="O91" s="15" t="s">
        <v>375</v>
      </c>
      <c r="P91" s="15" t="s">
        <v>376</v>
      </c>
      <c r="Q91" s="15" t="s">
        <v>32</v>
      </c>
      <c r="R91" s="15" t="s">
        <v>1016</v>
      </c>
      <c r="S91" s="15" t="s">
        <v>1017</v>
      </c>
      <c r="T91" s="15" t="s">
        <v>88</v>
      </c>
      <c r="U91" s="15" t="s">
        <v>1018</v>
      </c>
      <c r="V91" s="15" t="s">
        <v>380</v>
      </c>
      <c r="W91" s="15" t="s">
        <v>381</v>
      </c>
      <c r="X91" s="15" t="s">
        <v>1018</v>
      </c>
      <c r="Y91" s="15" t="s">
        <v>382</v>
      </c>
      <c r="Z91" s="15" t="s">
        <v>1019</v>
      </c>
      <c r="AA91" s="15" t="s">
        <v>1020</v>
      </c>
    </row>
    <row r="92" spans="1:27">
      <c r="A92" s="8">
        <v>91</v>
      </c>
      <c r="B92" s="9">
        <v>75</v>
      </c>
      <c r="C92" s="9">
        <v>89</v>
      </c>
      <c r="D92" s="9">
        <v>134</v>
      </c>
      <c r="E92" s="9">
        <v>58</v>
      </c>
      <c r="F92" s="10">
        <f t="shared" si="1"/>
        <v>3.5</v>
      </c>
      <c r="G92" s="9">
        <v>4</v>
      </c>
      <c r="H92" s="9">
        <v>4</v>
      </c>
      <c r="I92" s="9">
        <v>1</v>
      </c>
      <c r="J92" s="9">
        <v>5</v>
      </c>
      <c r="K92" s="11" t="s">
        <v>372</v>
      </c>
      <c r="L92" s="11" t="s">
        <v>1021</v>
      </c>
      <c r="M92" s="11" t="s">
        <v>1022</v>
      </c>
      <c r="N92" s="11" t="s">
        <v>1023</v>
      </c>
      <c r="O92" s="11" t="s">
        <v>375</v>
      </c>
      <c r="P92" s="11" t="s">
        <v>376</v>
      </c>
      <c r="Q92" s="11" t="s">
        <v>193</v>
      </c>
      <c r="R92" s="11" t="s">
        <v>1024</v>
      </c>
      <c r="S92" s="11" t="s">
        <v>1025</v>
      </c>
      <c r="T92" s="11" t="s">
        <v>88</v>
      </c>
      <c r="U92" s="11" t="s">
        <v>1026</v>
      </c>
      <c r="V92" s="11" t="s">
        <v>380</v>
      </c>
      <c r="W92" s="11" t="s">
        <v>381</v>
      </c>
      <c r="X92" s="11" t="s">
        <v>1026</v>
      </c>
      <c r="Y92" s="11" t="s">
        <v>382</v>
      </c>
      <c r="Z92" s="11" t="s">
        <v>1027</v>
      </c>
      <c r="AA92" s="11" t="s">
        <v>223</v>
      </c>
    </row>
    <row r="93" spans="1:27">
      <c r="A93" s="12">
        <v>92</v>
      </c>
      <c r="B93" s="13">
        <v>28</v>
      </c>
      <c r="C93" s="13">
        <v>92</v>
      </c>
      <c r="D93" s="13">
        <v>135</v>
      </c>
      <c r="E93" s="13">
        <v>59</v>
      </c>
      <c r="F93" s="14">
        <f t="shared" si="1"/>
        <v>3.5</v>
      </c>
      <c r="G93" s="13">
        <v>5</v>
      </c>
      <c r="H93" s="13">
        <v>3</v>
      </c>
      <c r="I93" s="13">
        <v>1</v>
      </c>
      <c r="J93" s="13">
        <v>5</v>
      </c>
      <c r="K93" s="15" t="s">
        <v>423</v>
      </c>
      <c r="L93" s="15" t="s">
        <v>1028</v>
      </c>
      <c r="M93" s="15" t="s">
        <v>673</v>
      </c>
      <c r="N93" s="15" t="s">
        <v>1029</v>
      </c>
      <c r="O93" s="15" t="s">
        <v>375</v>
      </c>
      <c r="P93" s="15" t="s">
        <v>376</v>
      </c>
      <c r="Q93" s="15" t="s">
        <v>193</v>
      </c>
      <c r="R93" s="15" t="s">
        <v>1030</v>
      </c>
      <c r="S93" s="15" t="s">
        <v>1031</v>
      </c>
      <c r="T93" s="15" t="s">
        <v>185</v>
      </c>
      <c r="U93" s="15" t="s">
        <v>1032</v>
      </c>
      <c r="V93" s="15" t="s">
        <v>380</v>
      </c>
      <c r="W93" s="15" t="s">
        <v>381</v>
      </c>
      <c r="X93" s="15" t="s">
        <v>1032</v>
      </c>
      <c r="Y93" s="15" t="s">
        <v>382</v>
      </c>
      <c r="Z93" s="15" t="s">
        <v>1033</v>
      </c>
      <c r="AA93" s="15" t="s">
        <v>679</v>
      </c>
    </row>
    <row r="94" spans="1:27">
      <c r="A94" s="8">
        <v>93</v>
      </c>
      <c r="B94" s="9">
        <v>123</v>
      </c>
      <c r="C94" s="9">
        <v>93</v>
      </c>
      <c r="D94" s="9">
        <v>49</v>
      </c>
      <c r="E94" s="9">
        <v>98</v>
      </c>
      <c r="F94" s="10">
        <f t="shared" si="1"/>
        <v>3.5</v>
      </c>
      <c r="G94" s="9">
        <v>3</v>
      </c>
      <c r="H94" s="9">
        <v>3</v>
      </c>
      <c r="I94" s="9">
        <v>5</v>
      </c>
      <c r="J94" s="9">
        <v>4</v>
      </c>
      <c r="K94" s="11" t="s">
        <v>929</v>
      </c>
      <c r="L94" s="11" t="s">
        <v>1034</v>
      </c>
      <c r="M94" s="11" t="s">
        <v>1035</v>
      </c>
      <c r="N94" s="11" t="s">
        <v>1036</v>
      </c>
      <c r="O94" s="11" t="s">
        <v>375</v>
      </c>
      <c r="P94" s="11" t="s">
        <v>376</v>
      </c>
      <c r="Q94" s="11" t="s">
        <v>32</v>
      </c>
      <c r="R94" s="11" t="s">
        <v>1037</v>
      </c>
      <c r="S94" s="11" t="s">
        <v>1038</v>
      </c>
      <c r="T94" s="11" t="s">
        <v>185</v>
      </c>
      <c r="U94" s="11" t="s">
        <v>1039</v>
      </c>
      <c r="V94" s="11" t="s">
        <v>380</v>
      </c>
      <c r="W94" s="11" t="s">
        <v>381</v>
      </c>
      <c r="X94" s="11" t="s">
        <v>1039</v>
      </c>
      <c r="Y94" s="11" t="s">
        <v>382</v>
      </c>
      <c r="Z94" s="11" t="s">
        <v>1040</v>
      </c>
      <c r="AA94" s="11" t="s">
        <v>1041</v>
      </c>
    </row>
    <row r="95" spans="1:27">
      <c r="A95" s="12">
        <v>94</v>
      </c>
      <c r="B95" s="13">
        <v>76</v>
      </c>
      <c r="C95" s="13">
        <v>94</v>
      </c>
      <c r="D95" s="13">
        <v>92</v>
      </c>
      <c r="E95" s="13">
        <v>99</v>
      </c>
      <c r="F95" s="14">
        <f t="shared" si="1"/>
        <v>3.45</v>
      </c>
      <c r="G95" s="13">
        <v>4</v>
      </c>
      <c r="H95" s="13">
        <v>3</v>
      </c>
      <c r="I95" s="13">
        <v>3</v>
      </c>
      <c r="J95" s="13">
        <v>4</v>
      </c>
      <c r="K95" s="15" t="s">
        <v>372</v>
      </c>
      <c r="L95" s="15" t="s">
        <v>1042</v>
      </c>
      <c r="M95" s="15" t="s">
        <v>1043</v>
      </c>
      <c r="N95" s="15" t="s">
        <v>1044</v>
      </c>
      <c r="O95" s="15" t="s">
        <v>375</v>
      </c>
      <c r="P95" s="15" t="s">
        <v>376</v>
      </c>
      <c r="Q95" s="15" t="s">
        <v>193</v>
      </c>
      <c r="R95" s="15" t="s">
        <v>1045</v>
      </c>
      <c r="S95" s="15" t="s">
        <v>1046</v>
      </c>
      <c r="T95" s="15" t="s">
        <v>185</v>
      </c>
      <c r="U95" s="15" t="s">
        <v>1047</v>
      </c>
      <c r="V95" s="15" t="s">
        <v>380</v>
      </c>
      <c r="W95" s="15" t="s">
        <v>381</v>
      </c>
      <c r="X95" s="15" t="s">
        <v>1047</v>
      </c>
      <c r="Y95" s="15" t="s">
        <v>382</v>
      </c>
      <c r="Z95" s="15" t="s">
        <v>1048</v>
      </c>
      <c r="AA95" s="15" t="s">
        <v>1049</v>
      </c>
    </row>
    <row r="96" spans="1:27">
      <c r="A96" s="8">
        <v>95</v>
      </c>
      <c r="B96" s="9">
        <v>77</v>
      </c>
      <c r="C96" s="9">
        <v>95</v>
      </c>
      <c r="D96" s="9">
        <v>93</v>
      </c>
      <c r="E96" s="9">
        <v>100</v>
      </c>
      <c r="F96" s="10">
        <f t="shared" si="1"/>
        <v>3.45</v>
      </c>
      <c r="G96" s="9">
        <v>4</v>
      </c>
      <c r="H96" s="9">
        <v>3</v>
      </c>
      <c r="I96" s="9">
        <v>3</v>
      </c>
      <c r="J96" s="9">
        <v>4</v>
      </c>
      <c r="K96" s="11" t="s">
        <v>423</v>
      </c>
      <c r="L96" s="11" t="s">
        <v>1050</v>
      </c>
      <c r="M96" s="11" t="s">
        <v>960</v>
      </c>
      <c r="N96" s="11" t="s">
        <v>1051</v>
      </c>
      <c r="O96" s="11" t="s">
        <v>375</v>
      </c>
      <c r="P96" s="11" t="s">
        <v>376</v>
      </c>
      <c r="Q96" s="11" t="s">
        <v>193</v>
      </c>
      <c r="R96" s="11" t="s">
        <v>1052</v>
      </c>
      <c r="S96" s="11" t="s">
        <v>1053</v>
      </c>
      <c r="T96" s="11" t="s">
        <v>185</v>
      </c>
      <c r="U96" s="11" t="s">
        <v>1054</v>
      </c>
      <c r="V96" s="11" t="s">
        <v>380</v>
      </c>
      <c r="W96" s="11" t="s">
        <v>381</v>
      </c>
      <c r="X96" s="11" t="s">
        <v>1054</v>
      </c>
      <c r="Y96" s="11" t="s">
        <v>382</v>
      </c>
      <c r="Z96" s="11" t="s">
        <v>1055</v>
      </c>
      <c r="AA96" s="11" t="s">
        <v>906</v>
      </c>
    </row>
    <row r="97" spans="1:27">
      <c r="A97" s="12">
        <v>96</v>
      </c>
      <c r="B97" s="13">
        <v>29</v>
      </c>
      <c r="C97" s="13">
        <v>96</v>
      </c>
      <c r="D97" s="13">
        <v>136</v>
      </c>
      <c r="E97" s="13">
        <v>101</v>
      </c>
      <c r="F97" s="14">
        <f t="shared" si="1"/>
        <v>3.4</v>
      </c>
      <c r="G97" s="13">
        <v>5</v>
      </c>
      <c r="H97" s="13">
        <v>3</v>
      </c>
      <c r="I97" s="13">
        <v>1</v>
      </c>
      <c r="J97" s="13">
        <v>4</v>
      </c>
      <c r="K97" s="15" t="s">
        <v>372</v>
      </c>
      <c r="L97" s="15" t="s">
        <v>1056</v>
      </c>
      <c r="M97" s="15" t="s">
        <v>1057</v>
      </c>
      <c r="N97" s="15" t="s">
        <v>1058</v>
      </c>
      <c r="O97" s="15" t="s">
        <v>375</v>
      </c>
      <c r="P97" s="15" t="s">
        <v>376</v>
      </c>
      <c r="Q97" s="15" t="s">
        <v>193</v>
      </c>
      <c r="R97" s="15" t="s">
        <v>1059</v>
      </c>
      <c r="S97" s="15" t="s">
        <v>1060</v>
      </c>
      <c r="T97" s="15" t="s">
        <v>185</v>
      </c>
      <c r="U97" s="15" t="s">
        <v>1061</v>
      </c>
      <c r="V97" s="15" t="s">
        <v>380</v>
      </c>
      <c r="W97" s="15" t="s">
        <v>381</v>
      </c>
      <c r="X97" s="15" t="s">
        <v>1061</v>
      </c>
      <c r="Y97" s="15" t="s">
        <v>382</v>
      </c>
      <c r="Z97" s="15" t="s">
        <v>1062</v>
      </c>
      <c r="AA97" s="15" t="s">
        <v>671</v>
      </c>
    </row>
    <row r="98" spans="1:27">
      <c r="A98" s="8">
        <v>97</v>
      </c>
      <c r="B98" s="9">
        <v>78</v>
      </c>
      <c r="C98" s="9">
        <v>97</v>
      </c>
      <c r="D98" s="9">
        <v>106</v>
      </c>
      <c r="E98" s="9">
        <v>60</v>
      </c>
      <c r="F98" s="10">
        <f t="shared" si="1"/>
        <v>3.35</v>
      </c>
      <c r="G98" s="9">
        <v>4</v>
      </c>
      <c r="H98" s="9">
        <v>3</v>
      </c>
      <c r="I98" s="9">
        <v>2</v>
      </c>
      <c r="J98" s="9">
        <v>5</v>
      </c>
      <c r="K98" s="11" t="s">
        <v>372</v>
      </c>
      <c r="L98" s="11" t="s">
        <v>1063</v>
      </c>
      <c r="M98" s="11" t="s">
        <v>1064</v>
      </c>
      <c r="N98" s="11" t="s">
        <v>1065</v>
      </c>
      <c r="O98" s="11" t="s">
        <v>375</v>
      </c>
      <c r="P98" s="11" t="s">
        <v>376</v>
      </c>
      <c r="Q98" s="11" t="s">
        <v>193</v>
      </c>
      <c r="R98" s="11" t="s">
        <v>1066</v>
      </c>
      <c r="S98" s="11" t="s">
        <v>1067</v>
      </c>
      <c r="T98" s="11" t="s">
        <v>185</v>
      </c>
      <c r="U98" s="11" t="s">
        <v>1068</v>
      </c>
      <c r="V98" s="11" t="s">
        <v>380</v>
      </c>
      <c r="W98" s="11" t="s">
        <v>381</v>
      </c>
      <c r="X98" s="11" t="s">
        <v>1068</v>
      </c>
      <c r="Y98" s="11" t="s">
        <v>382</v>
      </c>
      <c r="Z98" s="11" t="s">
        <v>1069</v>
      </c>
      <c r="AA98" s="11" t="s">
        <v>57</v>
      </c>
    </row>
    <row r="99" spans="1:27">
      <c r="A99" s="12">
        <v>98</v>
      </c>
      <c r="B99" s="13">
        <v>79</v>
      </c>
      <c r="C99" s="13">
        <v>98</v>
      </c>
      <c r="D99" s="13">
        <v>107</v>
      </c>
      <c r="E99" s="13">
        <v>61</v>
      </c>
      <c r="F99" s="14">
        <f t="shared" si="1"/>
        <v>3.35</v>
      </c>
      <c r="G99" s="13">
        <v>4</v>
      </c>
      <c r="H99" s="13">
        <v>3</v>
      </c>
      <c r="I99" s="13">
        <v>2</v>
      </c>
      <c r="J99" s="13">
        <v>5</v>
      </c>
      <c r="K99" s="15" t="s">
        <v>372</v>
      </c>
      <c r="L99" s="15" t="s">
        <v>1070</v>
      </c>
      <c r="M99" s="15" t="s">
        <v>1071</v>
      </c>
      <c r="N99" s="15" t="s">
        <v>1072</v>
      </c>
      <c r="O99" s="15" t="s">
        <v>375</v>
      </c>
      <c r="P99" s="15" t="s">
        <v>376</v>
      </c>
      <c r="Q99" s="15" t="s">
        <v>193</v>
      </c>
      <c r="R99" s="15" t="s">
        <v>1073</v>
      </c>
      <c r="S99" s="15" t="s">
        <v>1074</v>
      </c>
      <c r="T99" s="15" t="s">
        <v>185</v>
      </c>
      <c r="U99" s="15" t="s">
        <v>1075</v>
      </c>
      <c r="V99" s="15" t="s">
        <v>380</v>
      </c>
      <c r="W99" s="15" t="s">
        <v>381</v>
      </c>
      <c r="X99" s="15" t="s">
        <v>1075</v>
      </c>
      <c r="Y99" s="15" t="s">
        <v>382</v>
      </c>
      <c r="Z99" s="15" t="s">
        <v>1069</v>
      </c>
      <c r="AA99" s="15" t="s">
        <v>57</v>
      </c>
    </row>
    <row r="100" spans="1:27">
      <c r="A100" s="8">
        <v>99</v>
      </c>
      <c r="B100" s="9">
        <v>80</v>
      </c>
      <c r="C100" s="9">
        <v>99</v>
      </c>
      <c r="D100" s="9">
        <v>108</v>
      </c>
      <c r="E100" s="9">
        <v>62</v>
      </c>
      <c r="F100" s="10">
        <f t="shared" si="1"/>
        <v>3.35</v>
      </c>
      <c r="G100" s="9">
        <v>4</v>
      </c>
      <c r="H100" s="9">
        <v>3</v>
      </c>
      <c r="I100" s="9">
        <v>2</v>
      </c>
      <c r="J100" s="9">
        <v>5</v>
      </c>
      <c r="K100" s="11" t="s">
        <v>372</v>
      </c>
      <c r="L100" s="11" t="s">
        <v>1076</v>
      </c>
      <c r="M100" s="11" t="s">
        <v>1077</v>
      </c>
      <c r="N100" s="11" t="s">
        <v>1078</v>
      </c>
      <c r="O100" s="11" t="s">
        <v>375</v>
      </c>
      <c r="P100" s="11" t="s">
        <v>376</v>
      </c>
      <c r="Q100" s="11" t="s">
        <v>193</v>
      </c>
      <c r="R100" s="11" t="s">
        <v>1079</v>
      </c>
      <c r="S100" s="11" t="s">
        <v>1080</v>
      </c>
      <c r="T100" s="11" t="s">
        <v>185</v>
      </c>
      <c r="U100" s="11" t="s">
        <v>1081</v>
      </c>
      <c r="V100" s="11" t="s">
        <v>380</v>
      </c>
      <c r="W100" s="11" t="s">
        <v>381</v>
      </c>
      <c r="X100" s="11" t="s">
        <v>1081</v>
      </c>
      <c r="Y100" s="11" t="s">
        <v>382</v>
      </c>
      <c r="Z100" s="11" t="s">
        <v>230</v>
      </c>
      <c r="AA100" s="11" t="s">
        <v>189</v>
      </c>
    </row>
    <row r="101" spans="1:27">
      <c r="A101" s="12">
        <v>100</v>
      </c>
      <c r="B101" s="13">
        <v>81</v>
      </c>
      <c r="C101" s="13">
        <v>100</v>
      </c>
      <c r="D101" s="13">
        <v>109</v>
      </c>
      <c r="E101" s="13">
        <v>63</v>
      </c>
      <c r="F101" s="14">
        <f t="shared" si="1"/>
        <v>3.35</v>
      </c>
      <c r="G101" s="13">
        <v>4</v>
      </c>
      <c r="H101" s="13">
        <v>3</v>
      </c>
      <c r="I101" s="13">
        <v>2</v>
      </c>
      <c r="J101" s="13">
        <v>5</v>
      </c>
      <c r="K101" s="15" t="s">
        <v>372</v>
      </c>
      <c r="L101" s="15" t="s">
        <v>1082</v>
      </c>
      <c r="M101" s="15" t="s">
        <v>1077</v>
      </c>
      <c r="N101" s="15" t="s">
        <v>1083</v>
      </c>
      <c r="O101" s="15" t="s">
        <v>375</v>
      </c>
      <c r="P101" s="15" t="s">
        <v>376</v>
      </c>
      <c r="Q101" s="15" t="s">
        <v>193</v>
      </c>
      <c r="R101" s="15" t="s">
        <v>1084</v>
      </c>
      <c r="S101" s="15" t="s">
        <v>1085</v>
      </c>
      <c r="T101" s="15" t="s">
        <v>185</v>
      </c>
      <c r="U101" s="15" t="s">
        <v>1086</v>
      </c>
      <c r="V101" s="15" t="s">
        <v>380</v>
      </c>
      <c r="W101" s="15" t="s">
        <v>381</v>
      </c>
      <c r="X101" s="15" t="s">
        <v>1086</v>
      </c>
      <c r="Y101" s="15" t="s">
        <v>382</v>
      </c>
      <c r="Z101" s="15" t="s">
        <v>230</v>
      </c>
      <c r="AA101" s="15" t="s">
        <v>189</v>
      </c>
    </row>
    <row r="102" spans="1:27">
      <c r="A102" s="8">
        <v>101</v>
      </c>
      <c r="B102" s="9">
        <v>82</v>
      </c>
      <c r="C102" s="9">
        <v>101</v>
      </c>
      <c r="D102" s="9">
        <v>110</v>
      </c>
      <c r="E102" s="9">
        <v>64</v>
      </c>
      <c r="F102" s="10">
        <f t="shared" si="1"/>
        <v>3.35</v>
      </c>
      <c r="G102" s="9">
        <v>4</v>
      </c>
      <c r="H102" s="9">
        <v>3</v>
      </c>
      <c r="I102" s="9">
        <v>2</v>
      </c>
      <c r="J102" s="9">
        <v>5</v>
      </c>
      <c r="K102" s="11" t="s">
        <v>423</v>
      </c>
      <c r="L102" s="11" t="s">
        <v>1087</v>
      </c>
      <c r="M102" s="11" t="s">
        <v>1088</v>
      </c>
      <c r="N102" s="11" t="s">
        <v>1089</v>
      </c>
      <c r="O102" s="11" t="s">
        <v>375</v>
      </c>
      <c r="P102" s="11" t="s">
        <v>376</v>
      </c>
      <c r="Q102" s="11" t="s">
        <v>193</v>
      </c>
      <c r="R102" s="11" t="s">
        <v>1090</v>
      </c>
      <c r="S102" s="11" t="s">
        <v>1091</v>
      </c>
      <c r="T102" s="11" t="s">
        <v>185</v>
      </c>
      <c r="U102" s="11" t="s">
        <v>1092</v>
      </c>
      <c r="V102" s="11" t="s">
        <v>380</v>
      </c>
      <c r="W102" s="11" t="s">
        <v>381</v>
      </c>
      <c r="X102" s="11" t="s">
        <v>1092</v>
      </c>
      <c r="Y102" s="11" t="s">
        <v>382</v>
      </c>
      <c r="Z102" s="11" t="s">
        <v>1093</v>
      </c>
      <c r="AA102" s="11" t="s">
        <v>1094</v>
      </c>
    </row>
    <row r="103" spans="1:27">
      <c r="A103" s="12">
        <v>102</v>
      </c>
      <c r="B103" s="13">
        <v>83</v>
      </c>
      <c r="C103" s="13">
        <v>102</v>
      </c>
      <c r="D103" s="13">
        <v>111</v>
      </c>
      <c r="E103" s="13">
        <v>65</v>
      </c>
      <c r="F103" s="14">
        <f t="shared" si="1"/>
        <v>3.35</v>
      </c>
      <c r="G103" s="13">
        <v>4</v>
      </c>
      <c r="H103" s="13">
        <v>3</v>
      </c>
      <c r="I103" s="13">
        <v>2</v>
      </c>
      <c r="J103" s="13">
        <v>5</v>
      </c>
      <c r="K103" s="15" t="s">
        <v>423</v>
      </c>
      <c r="L103" s="15" t="s">
        <v>1095</v>
      </c>
      <c r="M103" s="15" t="s">
        <v>1096</v>
      </c>
      <c r="N103" s="15" t="s">
        <v>1097</v>
      </c>
      <c r="O103" s="15" t="s">
        <v>375</v>
      </c>
      <c r="P103" s="15" t="s">
        <v>376</v>
      </c>
      <c r="Q103" s="15" t="s">
        <v>193</v>
      </c>
      <c r="R103" s="15" t="s">
        <v>1098</v>
      </c>
      <c r="S103" s="15" t="s">
        <v>1099</v>
      </c>
      <c r="T103" s="15" t="s">
        <v>185</v>
      </c>
      <c r="U103" s="15" t="s">
        <v>1100</v>
      </c>
      <c r="V103" s="15" t="s">
        <v>380</v>
      </c>
      <c r="W103" s="15" t="s">
        <v>381</v>
      </c>
      <c r="X103" s="15" t="s">
        <v>1100</v>
      </c>
      <c r="Y103" s="15" t="s">
        <v>382</v>
      </c>
      <c r="Z103" s="15" t="s">
        <v>1101</v>
      </c>
      <c r="AA103" s="15" t="s">
        <v>1102</v>
      </c>
    </row>
    <row r="104" spans="1:27">
      <c r="A104" s="8">
        <v>103</v>
      </c>
      <c r="B104" s="9">
        <v>124</v>
      </c>
      <c r="C104" s="9">
        <v>103</v>
      </c>
      <c r="D104" s="9">
        <v>75</v>
      </c>
      <c r="E104" s="9">
        <v>102</v>
      </c>
      <c r="F104" s="10">
        <f t="shared" si="1"/>
        <v>3.3</v>
      </c>
      <c r="G104" s="9">
        <v>3</v>
      </c>
      <c r="H104" s="9">
        <v>3</v>
      </c>
      <c r="I104" s="9">
        <v>4</v>
      </c>
      <c r="J104" s="9">
        <v>4</v>
      </c>
      <c r="K104" s="11" t="s">
        <v>929</v>
      </c>
      <c r="L104" s="11" t="s">
        <v>1103</v>
      </c>
      <c r="M104" s="11" t="s">
        <v>1104</v>
      </c>
      <c r="N104" s="11" t="s">
        <v>1105</v>
      </c>
      <c r="O104" s="11" t="s">
        <v>375</v>
      </c>
      <c r="P104" s="11" t="s">
        <v>376</v>
      </c>
      <c r="Q104" s="11" t="s">
        <v>32</v>
      </c>
      <c r="R104" s="11" t="s">
        <v>1106</v>
      </c>
      <c r="S104" s="11" t="s">
        <v>1107</v>
      </c>
      <c r="T104" s="11" t="s">
        <v>185</v>
      </c>
      <c r="U104" s="11" t="s">
        <v>1108</v>
      </c>
      <c r="V104" s="11" t="s">
        <v>380</v>
      </c>
      <c r="W104" s="11" t="s">
        <v>381</v>
      </c>
      <c r="X104" s="11" t="s">
        <v>1108</v>
      </c>
      <c r="Y104" s="11" t="s">
        <v>382</v>
      </c>
      <c r="Z104" s="11" t="s">
        <v>1109</v>
      </c>
      <c r="AA104" s="11" t="s">
        <v>1110</v>
      </c>
    </row>
    <row r="105" spans="1:27">
      <c r="A105" s="12">
        <v>104</v>
      </c>
      <c r="B105" s="13">
        <v>125</v>
      </c>
      <c r="C105" s="13">
        <v>104</v>
      </c>
      <c r="D105" s="13">
        <v>76</v>
      </c>
      <c r="E105" s="13">
        <v>103</v>
      </c>
      <c r="F105" s="14">
        <f t="shared" si="1"/>
        <v>3.3</v>
      </c>
      <c r="G105" s="13">
        <v>3</v>
      </c>
      <c r="H105" s="13">
        <v>3</v>
      </c>
      <c r="I105" s="13">
        <v>4</v>
      </c>
      <c r="J105" s="13">
        <v>4</v>
      </c>
      <c r="K105" s="15" t="s">
        <v>372</v>
      </c>
      <c r="L105" s="15" t="s">
        <v>1111</v>
      </c>
      <c r="M105" s="15" t="s">
        <v>1112</v>
      </c>
      <c r="N105" s="15" t="s">
        <v>1113</v>
      </c>
      <c r="O105" s="15" t="s">
        <v>375</v>
      </c>
      <c r="P105" s="15" t="s">
        <v>376</v>
      </c>
      <c r="Q105" s="15" t="s">
        <v>32</v>
      </c>
      <c r="R105" s="15" t="s">
        <v>1114</v>
      </c>
      <c r="S105" s="15" t="s">
        <v>1115</v>
      </c>
      <c r="T105" s="15" t="s">
        <v>185</v>
      </c>
      <c r="U105" s="15" t="s">
        <v>1116</v>
      </c>
      <c r="V105" s="15" t="s">
        <v>380</v>
      </c>
      <c r="W105" s="15" t="s">
        <v>381</v>
      </c>
      <c r="X105" s="15" t="s">
        <v>1116</v>
      </c>
      <c r="Y105" s="15" t="s">
        <v>382</v>
      </c>
      <c r="Z105" s="15" t="s">
        <v>1117</v>
      </c>
      <c r="AA105" s="15" t="s">
        <v>57</v>
      </c>
    </row>
    <row r="106" spans="1:27">
      <c r="A106" s="8">
        <v>105</v>
      </c>
      <c r="B106" s="9">
        <v>84</v>
      </c>
      <c r="C106" s="9">
        <v>105</v>
      </c>
      <c r="D106" s="9">
        <v>112</v>
      </c>
      <c r="E106" s="9">
        <v>104</v>
      </c>
      <c r="F106" s="10">
        <f t="shared" si="1"/>
        <v>3.25</v>
      </c>
      <c r="G106" s="9">
        <v>4</v>
      </c>
      <c r="H106" s="9">
        <v>3</v>
      </c>
      <c r="I106" s="9">
        <v>2</v>
      </c>
      <c r="J106" s="9">
        <v>4</v>
      </c>
      <c r="K106" s="11" t="s">
        <v>372</v>
      </c>
      <c r="L106" s="11" t="s">
        <v>1118</v>
      </c>
      <c r="M106" s="11" t="s">
        <v>1119</v>
      </c>
      <c r="N106" s="11" t="s">
        <v>1120</v>
      </c>
      <c r="O106" s="11" t="s">
        <v>375</v>
      </c>
      <c r="P106" s="11" t="s">
        <v>376</v>
      </c>
      <c r="Q106" s="11" t="s">
        <v>193</v>
      </c>
      <c r="R106" s="11" t="s">
        <v>1121</v>
      </c>
      <c r="S106" s="11" t="s">
        <v>1122</v>
      </c>
      <c r="T106" s="11" t="s">
        <v>185</v>
      </c>
      <c r="U106" s="11" t="s">
        <v>1123</v>
      </c>
      <c r="V106" s="11" t="s">
        <v>380</v>
      </c>
      <c r="W106" s="11" t="s">
        <v>381</v>
      </c>
      <c r="X106" s="11" t="s">
        <v>1123</v>
      </c>
      <c r="Y106" s="11" t="s">
        <v>382</v>
      </c>
      <c r="Z106" s="11" t="s">
        <v>1124</v>
      </c>
      <c r="AA106" s="11" t="s">
        <v>57</v>
      </c>
    </row>
    <row r="107" spans="1:27">
      <c r="A107" s="12">
        <v>106</v>
      </c>
      <c r="B107" s="13">
        <v>85</v>
      </c>
      <c r="C107" s="13">
        <v>106</v>
      </c>
      <c r="D107" s="13">
        <v>113</v>
      </c>
      <c r="E107" s="13">
        <v>105</v>
      </c>
      <c r="F107" s="14">
        <f t="shared" si="1"/>
        <v>3.25</v>
      </c>
      <c r="G107" s="13">
        <v>4</v>
      </c>
      <c r="H107" s="13">
        <v>3</v>
      </c>
      <c r="I107" s="13">
        <v>2</v>
      </c>
      <c r="J107" s="13">
        <v>4</v>
      </c>
      <c r="K107" s="15" t="s">
        <v>929</v>
      </c>
      <c r="L107" s="15" t="s">
        <v>1125</v>
      </c>
      <c r="M107" s="15" t="s">
        <v>1126</v>
      </c>
      <c r="N107" s="15" t="s">
        <v>1127</v>
      </c>
      <c r="O107" s="15" t="s">
        <v>375</v>
      </c>
      <c r="P107" s="15" t="s">
        <v>376</v>
      </c>
      <c r="Q107" s="15" t="s">
        <v>193</v>
      </c>
      <c r="R107" s="15" t="s">
        <v>1128</v>
      </c>
      <c r="S107" s="15" t="s">
        <v>1129</v>
      </c>
      <c r="T107" s="15" t="s">
        <v>185</v>
      </c>
      <c r="U107" s="15" t="s">
        <v>1130</v>
      </c>
      <c r="V107" s="15" t="s">
        <v>380</v>
      </c>
      <c r="W107" s="15" t="s">
        <v>381</v>
      </c>
      <c r="X107" s="15" t="s">
        <v>1130</v>
      </c>
      <c r="Y107" s="15" t="s">
        <v>382</v>
      </c>
      <c r="Z107" s="15" t="s">
        <v>1131</v>
      </c>
      <c r="AA107" s="15" t="s">
        <v>1132</v>
      </c>
    </row>
    <row r="108" spans="1:27">
      <c r="A108" s="8">
        <v>107</v>
      </c>
      <c r="B108" s="9">
        <v>86</v>
      </c>
      <c r="C108" s="9">
        <v>107</v>
      </c>
      <c r="D108" s="9">
        <v>114</v>
      </c>
      <c r="E108" s="9">
        <v>106</v>
      </c>
      <c r="F108" s="10">
        <f t="shared" si="1"/>
        <v>3.25</v>
      </c>
      <c r="G108" s="9">
        <v>4</v>
      </c>
      <c r="H108" s="9">
        <v>3</v>
      </c>
      <c r="I108" s="9">
        <v>2</v>
      </c>
      <c r="J108" s="9">
        <v>4</v>
      </c>
      <c r="K108" s="11" t="s">
        <v>423</v>
      </c>
      <c r="L108" s="11" t="s">
        <v>1133</v>
      </c>
      <c r="M108" s="11" t="s">
        <v>1134</v>
      </c>
      <c r="N108" s="11" t="s">
        <v>1135</v>
      </c>
      <c r="O108" s="11" t="s">
        <v>375</v>
      </c>
      <c r="P108" s="11" t="s">
        <v>376</v>
      </c>
      <c r="Q108" s="11" t="s">
        <v>193</v>
      </c>
      <c r="R108" s="11" t="s">
        <v>1136</v>
      </c>
      <c r="S108" s="11" t="s">
        <v>1137</v>
      </c>
      <c r="T108" s="11" t="s">
        <v>185</v>
      </c>
      <c r="U108" s="11" t="s">
        <v>1138</v>
      </c>
      <c r="V108" s="11" t="s">
        <v>380</v>
      </c>
      <c r="W108" s="11" t="s">
        <v>381</v>
      </c>
      <c r="X108" s="11" t="s">
        <v>1138</v>
      </c>
      <c r="Y108" s="11" t="s">
        <v>382</v>
      </c>
      <c r="Z108" s="11" t="s">
        <v>1139</v>
      </c>
      <c r="AA108" s="11" t="s">
        <v>1140</v>
      </c>
    </row>
    <row r="109" spans="1:27">
      <c r="A109" s="12">
        <v>108</v>
      </c>
      <c r="B109" s="13">
        <v>87</v>
      </c>
      <c r="C109" s="13">
        <v>108</v>
      </c>
      <c r="D109" s="13">
        <v>115</v>
      </c>
      <c r="E109" s="13">
        <v>107</v>
      </c>
      <c r="F109" s="14">
        <f t="shared" si="1"/>
        <v>3.25</v>
      </c>
      <c r="G109" s="13">
        <v>4</v>
      </c>
      <c r="H109" s="13">
        <v>3</v>
      </c>
      <c r="I109" s="13">
        <v>2</v>
      </c>
      <c r="J109" s="13">
        <v>4</v>
      </c>
      <c r="K109" s="15" t="s">
        <v>423</v>
      </c>
      <c r="L109" s="15" t="s">
        <v>1141</v>
      </c>
      <c r="M109" s="15" t="s">
        <v>1142</v>
      </c>
      <c r="N109" s="15" t="s">
        <v>1143</v>
      </c>
      <c r="O109" s="15" t="s">
        <v>375</v>
      </c>
      <c r="P109" s="15" t="s">
        <v>376</v>
      </c>
      <c r="Q109" s="15" t="s">
        <v>193</v>
      </c>
      <c r="R109" s="15" t="s">
        <v>1144</v>
      </c>
      <c r="S109" s="15" t="s">
        <v>1145</v>
      </c>
      <c r="T109" s="15" t="s">
        <v>185</v>
      </c>
      <c r="U109" s="15" t="s">
        <v>1146</v>
      </c>
      <c r="V109" s="15" t="s">
        <v>380</v>
      </c>
      <c r="W109" s="15" t="s">
        <v>381</v>
      </c>
      <c r="X109" s="15" t="s">
        <v>1146</v>
      </c>
      <c r="Y109" s="15" t="s">
        <v>382</v>
      </c>
      <c r="Z109" s="15" t="s">
        <v>1147</v>
      </c>
      <c r="AA109" s="15" t="s">
        <v>1148</v>
      </c>
    </row>
    <row r="110" spans="1:27">
      <c r="A110" s="8">
        <v>109</v>
      </c>
      <c r="B110" s="9">
        <v>88</v>
      </c>
      <c r="C110" s="9">
        <v>109</v>
      </c>
      <c r="D110" s="9">
        <v>116</v>
      </c>
      <c r="E110" s="9">
        <v>108</v>
      </c>
      <c r="F110" s="10">
        <f t="shared" si="1"/>
        <v>3.25</v>
      </c>
      <c r="G110" s="9">
        <v>4</v>
      </c>
      <c r="H110" s="9">
        <v>3</v>
      </c>
      <c r="I110" s="9">
        <v>2</v>
      </c>
      <c r="J110" s="9">
        <v>4</v>
      </c>
      <c r="K110" s="11" t="s">
        <v>423</v>
      </c>
      <c r="L110" s="11" t="s">
        <v>1149</v>
      </c>
      <c r="M110" s="11" t="s">
        <v>1150</v>
      </c>
      <c r="N110" s="11" t="s">
        <v>1151</v>
      </c>
      <c r="O110" s="11" t="s">
        <v>375</v>
      </c>
      <c r="P110" s="11" t="s">
        <v>376</v>
      </c>
      <c r="Q110" s="11" t="s">
        <v>193</v>
      </c>
      <c r="R110" s="11" t="s">
        <v>1152</v>
      </c>
      <c r="S110" s="11" t="s">
        <v>1153</v>
      </c>
      <c r="T110" s="11" t="s">
        <v>185</v>
      </c>
      <c r="U110" s="11" t="s">
        <v>1154</v>
      </c>
      <c r="V110" s="11" t="s">
        <v>380</v>
      </c>
      <c r="W110" s="11" t="s">
        <v>381</v>
      </c>
      <c r="X110" s="11" t="s">
        <v>1154</v>
      </c>
      <c r="Y110" s="11" t="s">
        <v>382</v>
      </c>
      <c r="Z110" s="11" t="s">
        <v>1155</v>
      </c>
      <c r="AA110" s="11" t="s">
        <v>1156</v>
      </c>
    </row>
    <row r="111" spans="1:27">
      <c r="A111" s="12">
        <v>110</v>
      </c>
      <c r="B111" s="13">
        <v>89</v>
      </c>
      <c r="C111" s="13">
        <v>110</v>
      </c>
      <c r="D111" s="13">
        <v>117</v>
      </c>
      <c r="E111" s="13">
        <v>109</v>
      </c>
      <c r="F111" s="14">
        <f t="shared" si="1"/>
        <v>3.25</v>
      </c>
      <c r="G111" s="13">
        <v>4</v>
      </c>
      <c r="H111" s="13">
        <v>3</v>
      </c>
      <c r="I111" s="13">
        <v>2</v>
      </c>
      <c r="J111" s="13">
        <v>4</v>
      </c>
      <c r="K111" s="15" t="s">
        <v>929</v>
      </c>
      <c r="L111" s="15" t="s">
        <v>1157</v>
      </c>
      <c r="M111" s="15" t="s">
        <v>1158</v>
      </c>
      <c r="N111" s="15" t="s">
        <v>1159</v>
      </c>
      <c r="O111" s="15" t="s">
        <v>375</v>
      </c>
      <c r="P111" s="15" t="s">
        <v>376</v>
      </c>
      <c r="Q111" s="15" t="s">
        <v>193</v>
      </c>
      <c r="R111" s="15" t="s">
        <v>1160</v>
      </c>
      <c r="S111" s="15" t="s">
        <v>1161</v>
      </c>
      <c r="T111" s="15" t="s">
        <v>185</v>
      </c>
      <c r="U111" s="15" t="s">
        <v>1162</v>
      </c>
      <c r="V111" s="15" t="s">
        <v>380</v>
      </c>
      <c r="W111" s="15" t="s">
        <v>381</v>
      </c>
      <c r="X111" s="15" t="s">
        <v>1162</v>
      </c>
      <c r="Y111" s="15" t="s">
        <v>382</v>
      </c>
      <c r="Z111" s="15" t="s">
        <v>1163</v>
      </c>
      <c r="AA111" s="15" t="s">
        <v>1164</v>
      </c>
    </row>
    <row r="112" spans="1:27">
      <c r="A112" s="8">
        <v>111</v>
      </c>
      <c r="B112" s="9">
        <v>126</v>
      </c>
      <c r="C112" s="9">
        <v>111</v>
      </c>
      <c r="D112" s="9">
        <v>77</v>
      </c>
      <c r="E112" s="9">
        <v>147</v>
      </c>
      <c r="F112" s="10">
        <f t="shared" si="1"/>
        <v>3.2</v>
      </c>
      <c r="G112" s="9">
        <v>3</v>
      </c>
      <c r="H112" s="9">
        <v>3</v>
      </c>
      <c r="I112" s="9">
        <v>4</v>
      </c>
      <c r="J112" s="9">
        <v>3</v>
      </c>
      <c r="K112" s="11" t="s">
        <v>372</v>
      </c>
      <c r="L112" s="11" t="s">
        <v>1165</v>
      </c>
      <c r="M112" s="11" t="s">
        <v>1166</v>
      </c>
      <c r="N112" s="11" t="s">
        <v>1167</v>
      </c>
      <c r="O112" s="11" t="s">
        <v>375</v>
      </c>
      <c r="P112" s="11" t="s">
        <v>376</v>
      </c>
      <c r="Q112" s="11" t="s">
        <v>32</v>
      </c>
      <c r="R112" s="11" t="s">
        <v>1168</v>
      </c>
      <c r="S112" s="11" t="s">
        <v>1169</v>
      </c>
      <c r="T112" s="11" t="s">
        <v>185</v>
      </c>
      <c r="U112" s="11" t="s">
        <v>1170</v>
      </c>
      <c r="V112" s="11" t="s">
        <v>380</v>
      </c>
      <c r="W112" s="11" t="s">
        <v>381</v>
      </c>
      <c r="X112" s="11" t="s">
        <v>1170</v>
      </c>
      <c r="Y112" s="11" t="s">
        <v>382</v>
      </c>
      <c r="Z112" s="11" t="s">
        <v>1171</v>
      </c>
      <c r="AA112" s="11" t="s">
        <v>57</v>
      </c>
    </row>
    <row r="113" spans="1:27">
      <c r="A113" s="12">
        <v>112</v>
      </c>
      <c r="B113" s="13">
        <v>90</v>
      </c>
      <c r="C113" s="13">
        <v>112</v>
      </c>
      <c r="D113" s="13">
        <v>137</v>
      </c>
      <c r="E113" s="13">
        <v>66</v>
      </c>
      <c r="F113" s="14">
        <f t="shared" si="1"/>
        <v>3.15</v>
      </c>
      <c r="G113" s="13">
        <v>4</v>
      </c>
      <c r="H113" s="13">
        <v>3</v>
      </c>
      <c r="I113" s="13">
        <v>1</v>
      </c>
      <c r="J113" s="13">
        <v>5</v>
      </c>
      <c r="K113" s="15" t="s">
        <v>372</v>
      </c>
      <c r="L113" s="15" t="s">
        <v>1172</v>
      </c>
      <c r="M113" s="15" t="s">
        <v>1173</v>
      </c>
      <c r="N113" s="15" t="s">
        <v>248</v>
      </c>
      <c r="O113" s="15" t="s">
        <v>375</v>
      </c>
      <c r="P113" s="15" t="s">
        <v>376</v>
      </c>
      <c r="Q113" s="15" t="s">
        <v>193</v>
      </c>
      <c r="R113" s="15" t="s">
        <v>1174</v>
      </c>
      <c r="S113" s="15" t="s">
        <v>1175</v>
      </c>
      <c r="T113" s="15" t="s">
        <v>185</v>
      </c>
      <c r="U113" s="15" t="s">
        <v>1176</v>
      </c>
      <c r="V113" s="15" t="s">
        <v>380</v>
      </c>
      <c r="W113" s="15" t="s">
        <v>381</v>
      </c>
      <c r="X113" s="15" t="s">
        <v>1176</v>
      </c>
      <c r="Y113" s="15" t="s">
        <v>382</v>
      </c>
      <c r="Z113" s="15" t="s">
        <v>1177</v>
      </c>
      <c r="AA113" s="15" t="s">
        <v>1178</v>
      </c>
    </row>
    <row r="114" spans="1:27">
      <c r="A114" s="8">
        <v>113</v>
      </c>
      <c r="B114" s="9">
        <v>91</v>
      </c>
      <c r="C114" s="9">
        <v>113</v>
      </c>
      <c r="D114" s="9">
        <v>138</v>
      </c>
      <c r="E114" s="9">
        <v>67</v>
      </c>
      <c r="F114" s="10">
        <f t="shared" si="1"/>
        <v>3.15</v>
      </c>
      <c r="G114" s="9">
        <v>4</v>
      </c>
      <c r="H114" s="9">
        <v>3</v>
      </c>
      <c r="I114" s="9">
        <v>1</v>
      </c>
      <c r="J114" s="9">
        <v>5</v>
      </c>
      <c r="K114" s="11" t="s">
        <v>423</v>
      </c>
      <c r="L114" s="11" t="s">
        <v>1179</v>
      </c>
      <c r="M114" s="11" t="s">
        <v>1180</v>
      </c>
      <c r="N114" s="11" t="s">
        <v>1181</v>
      </c>
      <c r="O114" s="11" t="s">
        <v>375</v>
      </c>
      <c r="P114" s="11" t="s">
        <v>376</v>
      </c>
      <c r="Q114" s="11" t="s">
        <v>193</v>
      </c>
      <c r="R114" s="11" t="s">
        <v>1182</v>
      </c>
      <c r="S114" s="11" t="s">
        <v>1183</v>
      </c>
      <c r="T114" s="11" t="s">
        <v>185</v>
      </c>
      <c r="U114" s="11" t="s">
        <v>1184</v>
      </c>
      <c r="V114" s="11" t="s">
        <v>380</v>
      </c>
      <c r="W114" s="11" t="s">
        <v>381</v>
      </c>
      <c r="X114" s="11" t="s">
        <v>1184</v>
      </c>
      <c r="Y114" s="11" t="s">
        <v>382</v>
      </c>
      <c r="Z114" s="11" t="s">
        <v>1185</v>
      </c>
      <c r="AA114" s="11" t="s">
        <v>1186</v>
      </c>
    </row>
    <row r="115" spans="1:27">
      <c r="A115" s="12">
        <v>114</v>
      </c>
      <c r="B115" s="13">
        <v>127</v>
      </c>
      <c r="C115" s="13">
        <v>114</v>
      </c>
      <c r="D115" s="13">
        <v>94</v>
      </c>
      <c r="E115" s="13">
        <v>110</v>
      </c>
      <c r="F115" s="14">
        <f t="shared" si="1"/>
        <v>3.1</v>
      </c>
      <c r="G115" s="13">
        <v>3</v>
      </c>
      <c r="H115" s="13">
        <v>3</v>
      </c>
      <c r="I115" s="13">
        <v>3</v>
      </c>
      <c r="J115" s="13">
        <v>4</v>
      </c>
      <c r="K115" s="15" t="s">
        <v>372</v>
      </c>
      <c r="L115" s="15" t="s">
        <v>1187</v>
      </c>
      <c r="M115" s="15" t="s">
        <v>1188</v>
      </c>
      <c r="N115" s="15" t="s">
        <v>1189</v>
      </c>
      <c r="O115" s="15" t="s">
        <v>375</v>
      </c>
      <c r="P115" s="15" t="s">
        <v>376</v>
      </c>
      <c r="Q115" s="15" t="s">
        <v>193</v>
      </c>
      <c r="R115" s="15" t="s">
        <v>1190</v>
      </c>
      <c r="S115" s="15" t="s">
        <v>1191</v>
      </c>
      <c r="T115" s="15" t="s">
        <v>185</v>
      </c>
      <c r="U115" s="15" t="s">
        <v>1192</v>
      </c>
      <c r="V115" s="15" t="s">
        <v>380</v>
      </c>
      <c r="W115" s="15" t="s">
        <v>381</v>
      </c>
      <c r="X115" s="15" t="s">
        <v>1192</v>
      </c>
      <c r="Y115" s="15" t="s">
        <v>382</v>
      </c>
      <c r="Z115" s="15" t="s">
        <v>1193</v>
      </c>
      <c r="AA115" s="15" t="s">
        <v>1049</v>
      </c>
    </row>
    <row r="116" spans="1:27">
      <c r="A116" s="8">
        <v>115</v>
      </c>
      <c r="B116" s="9">
        <v>128</v>
      </c>
      <c r="C116" s="9">
        <v>115</v>
      </c>
      <c r="D116" s="9">
        <v>95</v>
      </c>
      <c r="E116" s="9">
        <v>111</v>
      </c>
      <c r="F116" s="10">
        <f t="shared" si="1"/>
        <v>3.1</v>
      </c>
      <c r="G116" s="9">
        <v>3</v>
      </c>
      <c r="H116" s="9">
        <v>3</v>
      </c>
      <c r="I116" s="9">
        <v>3</v>
      </c>
      <c r="J116" s="9">
        <v>4</v>
      </c>
      <c r="K116" s="11" t="s">
        <v>372</v>
      </c>
      <c r="L116" s="11" t="s">
        <v>1194</v>
      </c>
      <c r="M116" s="11" t="s">
        <v>1043</v>
      </c>
      <c r="N116" s="11" t="s">
        <v>1195</v>
      </c>
      <c r="O116" s="11" t="s">
        <v>375</v>
      </c>
      <c r="P116" s="11" t="s">
        <v>376</v>
      </c>
      <c r="Q116" s="11" t="s">
        <v>193</v>
      </c>
      <c r="R116" s="11" t="s">
        <v>1196</v>
      </c>
      <c r="S116" s="11" t="s">
        <v>1197</v>
      </c>
      <c r="T116" s="11" t="s">
        <v>185</v>
      </c>
      <c r="U116" s="11" t="s">
        <v>1198</v>
      </c>
      <c r="V116" s="11" t="s">
        <v>380</v>
      </c>
      <c r="W116" s="11" t="s">
        <v>381</v>
      </c>
      <c r="X116" s="11" t="s">
        <v>1198</v>
      </c>
      <c r="Y116" s="11" t="s">
        <v>382</v>
      </c>
      <c r="Z116" s="11" t="s">
        <v>1199</v>
      </c>
      <c r="AA116" s="11" t="s">
        <v>1049</v>
      </c>
    </row>
    <row r="117" spans="1:27">
      <c r="A117" s="12">
        <v>116</v>
      </c>
      <c r="B117" s="13">
        <v>129</v>
      </c>
      <c r="C117" s="13">
        <v>116</v>
      </c>
      <c r="D117" s="13">
        <v>96</v>
      </c>
      <c r="E117" s="13">
        <v>112</v>
      </c>
      <c r="F117" s="14">
        <f t="shared" si="1"/>
        <v>3.1</v>
      </c>
      <c r="G117" s="13">
        <v>3</v>
      </c>
      <c r="H117" s="13">
        <v>3</v>
      </c>
      <c r="I117" s="13">
        <v>3</v>
      </c>
      <c r="J117" s="13">
        <v>4</v>
      </c>
      <c r="K117" s="15" t="s">
        <v>929</v>
      </c>
      <c r="L117" s="15" t="s">
        <v>1200</v>
      </c>
      <c r="M117" s="15" t="s">
        <v>1201</v>
      </c>
      <c r="N117" s="15" t="s">
        <v>1202</v>
      </c>
      <c r="O117" s="15" t="s">
        <v>375</v>
      </c>
      <c r="P117" s="15" t="s">
        <v>376</v>
      </c>
      <c r="Q117" s="15" t="s">
        <v>193</v>
      </c>
      <c r="R117" s="15" t="s">
        <v>1203</v>
      </c>
      <c r="S117" s="15" t="s">
        <v>1204</v>
      </c>
      <c r="T117" s="15" t="s">
        <v>185</v>
      </c>
      <c r="U117" s="15" t="s">
        <v>1205</v>
      </c>
      <c r="V117" s="15" t="s">
        <v>380</v>
      </c>
      <c r="W117" s="15" t="s">
        <v>381</v>
      </c>
      <c r="X117" s="15" t="s">
        <v>1205</v>
      </c>
      <c r="Y117" s="15" t="s">
        <v>382</v>
      </c>
      <c r="Z117" s="15" t="s">
        <v>1206</v>
      </c>
      <c r="AA117" s="15" t="s">
        <v>1207</v>
      </c>
    </row>
    <row r="118" spans="1:27">
      <c r="A118" s="8">
        <v>117</v>
      </c>
      <c r="B118" s="9">
        <v>130</v>
      </c>
      <c r="C118" s="9">
        <v>117</v>
      </c>
      <c r="D118" s="9">
        <v>97</v>
      </c>
      <c r="E118" s="9">
        <v>113</v>
      </c>
      <c r="F118" s="10">
        <f t="shared" si="1"/>
        <v>3.1</v>
      </c>
      <c r="G118" s="9">
        <v>3</v>
      </c>
      <c r="H118" s="9">
        <v>3</v>
      </c>
      <c r="I118" s="9">
        <v>3</v>
      </c>
      <c r="J118" s="9">
        <v>4</v>
      </c>
      <c r="K118" s="11" t="s">
        <v>372</v>
      </c>
      <c r="L118" s="11" t="s">
        <v>1208</v>
      </c>
      <c r="M118" s="11" t="s">
        <v>1209</v>
      </c>
      <c r="N118" s="11" t="s">
        <v>1210</v>
      </c>
      <c r="O118" s="11" t="s">
        <v>375</v>
      </c>
      <c r="P118" s="11" t="s">
        <v>376</v>
      </c>
      <c r="Q118" s="11" t="s">
        <v>193</v>
      </c>
      <c r="R118" s="11" t="s">
        <v>1211</v>
      </c>
      <c r="S118" s="11" t="s">
        <v>1212</v>
      </c>
      <c r="T118" s="11" t="s">
        <v>185</v>
      </c>
      <c r="U118" s="11" t="s">
        <v>1213</v>
      </c>
      <c r="V118" s="11" t="s">
        <v>380</v>
      </c>
      <c r="W118" s="11" t="s">
        <v>381</v>
      </c>
      <c r="X118" s="11" t="s">
        <v>1213</v>
      </c>
      <c r="Y118" s="11" t="s">
        <v>382</v>
      </c>
      <c r="Z118" s="11" t="s">
        <v>1214</v>
      </c>
      <c r="AA118" s="11" t="s">
        <v>1215</v>
      </c>
    </row>
    <row r="119" spans="1:27">
      <c r="A119" s="12">
        <v>118</v>
      </c>
      <c r="B119" s="13">
        <v>92</v>
      </c>
      <c r="C119" s="13">
        <v>118</v>
      </c>
      <c r="D119" s="13">
        <v>139</v>
      </c>
      <c r="E119" s="13">
        <v>114</v>
      </c>
      <c r="F119" s="14">
        <f t="shared" si="1"/>
        <v>3.05</v>
      </c>
      <c r="G119" s="13">
        <v>4</v>
      </c>
      <c r="H119" s="13">
        <v>3</v>
      </c>
      <c r="I119" s="13">
        <v>1</v>
      </c>
      <c r="J119" s="13">
        <v>4</v>
      </c>
      <c r="K119" s="15" t="s">
        <v>372</v>
      </c>
      <c r="L119" s="15" t="s">
        <v>1216</v>
      </c>
      <c r="M119" s="15" t="s">
        <v>1217</v>
      </c>
      <c r="N119" s="15" t="s">
        <v>1218</v>
      </c>
      <c r="O119" s="15" t="s">
        <v>375</v>
      </c>
      <c r="P119" s="15" t="s">
        <v>376</v>
      </c>
      <c r="Q119" s="15" t="s">
        <v>193</v>
      </c>
      <c r="R119" s="15" t="s">
        <v>1219</v>
      </c>
      <c r="S119" s="15" t="s">
        <v>1220</v>
      </c>
      <c r="T119" s="15" t="s">
        <v>185</v>
      </c>
      <c r="U119" s="15" t="s">
        <v>1221</v>
      </c>
      <c r="V119" s="15" t="s">
        <v>380</v>
      </c>
      <c r="W119" s="15" t="s">
        <v>381</v>
      </c>
      <c r="X119" s="15" t="s">
        <v>1221</v>
      </c>
      <c r="Y119" s="15" t="s">
        <v>382</v>
      </c>
      <c r="Z119" s="15" t="s">
        <v>1222</v>
      </c>
      <c r="AA119" s="15" t="s">
        <v>1223</v>
      </c>
    </row>
    <row r="120" spans="1:27">
      <c r="A120" s="8">
        <v>119</v>
      </c>
      <c r="B120" s="9">
        <v>93</v>
      </c>
      <c r="C120" s="9">
        <v>119</v>
      </c>
      <c r="D120" s="9">
        <v>140</v>
      </c>
      <c r="E120" s="9">
        <v>115</v>
      </c>
      <c r="F120" s="10">
        <f t="shared" si="1"/>
        <v>3.05</v>
      </c>
      <c r="G120" s="9">
        <v>4</v>
      </c>
      <c r="H120" s="9">
        <v>3</v>
      </c>
      <c r="I120" s="9">
        <v>1</v>
      </c>
      <c r="J120" s="9">
        <v>4</v>
      </c>
      <c r="K120" s="11" t="s">
        <v>423</v>
      </c>
      <c r="L120" s="11" t="s">
        <v>1224</v>
      </c>
      <c r="M120" s="11" t="s">
        <v>1225</v>
      </c>
      <c r="N120" s="11" t="s">
        <v>1226</v>
      </c>
      <c r="O120" s="11" t="s">
        <v>375</v>
      </c>
      <c r="P120" s="11" t="s">
        <v>376</v>
      </c>
      <c r="Q120" s="11" t="s">
        <v>193</v>
      </c>
      <c r="R120" s="11" t="s">
        <v>1227</v>
      </c>
      <c r="S120" s="11" t="s">
        <v>1228</v>
      </c>
      <c r="T120" s="11" t="s">
        <v>185</v>
      </c>
      <c r="U120" s="11" t="s">
        <v>1229</v>
      </c>
      <c r="V120" s="11" t="s">
        <v>380</v>
      </c>
      <c r="W120" s="11" t="s">
        <v>381</v>
      </c>
      <c r="X120" s="11" t="s">
        <v>1229</v>
      </c>
      <c r="Y120" s="11" t="s">
        <v>382</v>
      </c>
      <c r="Z120" s="11" t="s">
        <v>1230</v>
      </c>
      <c r="AA120" s="11" t="s">
        <v>1231</v>
      </c>
    </row>
    <row r="121" spans="1:27">
      <c r="A121" s="12">
        <v>120</v>
      </c>
      <c r="B121" s="13">
        <v>94</v>
      </c>
      <c r="C121" s="13">
        <v>120</v>
      </c>
      <c r="D121" s="13">
        <v>141</v>
      </c>
      <c r="E121" s="13">
        <v>116</v>
      </c>
      <c r="F121" s="14">
        <f t="shared" si="1"/>
        <v>3.05</v>
      </c>
      <c r="G121" s="13">
        <v>4</v>
      </c>
      <c r="H121" s="13">
        <v>3</v>
      </c>
      <c r="I121" s="13">
        <v>1</v>
      </c>
      <c r="J121" s="13">
        <v>4</v>
      </c>
      <c r="K121" s="15" t="s">
        <v>423</v>
      </c>
      <c r="L121" s="15" t="s">
        <v>1232</v>
      </c>
      <c r="M121" s="15" t="s">
        <v>1233</v>
      </c>
      <c r="N121" s="15" t="s">
        <v>1234</v>
      </c>
      <c r="O121" s="15" t="s">
        <v>375</v>
      </c>
      <c r="P121" s="15" t="s">
        <v>376</v>
      </c>
      <c r="Q121" s="15" t="s">
        <v>193</v>
      </c>
      <c r="R121" s="15" t="s">
        <v>1235</v>
      </c>
      <c r="S121" s="15" t="s">
        <v>1236</v>
      </c>
      <c r="T121" s="15" t="s">
        <v>185</v>
      </c>
      <c r="U121" s="15" t="s">
        <v>1237</v>
      </c>
      <c r="V121" s="15" t="s">
        <v>380</v>
      </c>
      <c r="W121" s="15" t="s">
        <v>381</v>
      </c>
      <c r="X121" s="15" t="s">
        <v>1237</v>
      </c>
      <c r="Y121" s="15" t="s">
        <v>382</v>
      </c>
      <c r="Z121" s="15" t="s">
        <v>1238</v>
      </c>
      <c r="AA121" s="15" t="s">
        <v>1239</v>
      </c>
    </row>
    <row r="122" spans="1:27">
      <c r="A122" s="8">
        <v>121</v>
      </c>
      <c r="B122" s="9">
        <v>95</v>
      </c>
      <c r="C122" s="9">
        <v>121</v>
      </c>
      <c r="D122" s="9">
        <v>142</v>
      </c>
      <c r="E122" s="9">
        <v>117</v>
      </c>
      <c r="F122" s="10">
        <f t="shared" si="1"/>
        <v>3.05</v>
      </c>
      <c r="G122" s="9">
        <v>4</v>
      </c>
      <c r="H122" s="9">
        <v>3</v>
      </c>
      <c r="I122" s="9">
        <v>1</v>
      </c>
      <c r="J122" s="9">
        <v>4</v>
      </c>
      <c r="K122" s="11" t="s">
        <v>423</v>
      </c>
      <c r="L122" s="11" t="s">
        <v>1240</v>
      </c>
      <c r="M122" s="11" t="s">
        <v>1241</v>
      </c>
      <c r="N122" s="11" t="s">
        <v>1242</v>
      </c>
      <c r="O122" s="11" t="s">
        <v>375</v>
      </c>
      <c r="P122" s="11" t="s">
        <v>376</v>
      </c>
      <c r="Q122" s="11" t="s">
        <v>193</v>
      </c>
      <c r="R122" s="11" t="s">
        <v>1243</v>
      </c>
      <c r="S122" s="11" t="s">
        <v>1244</v>
      </c>
      <c r="T122" s="11" t="s">
        <v>185</v>
      </c>
      <c r="U122" s="11" t="s">
        <v>1245</v>
      </c>
      <c r="V122" s="11" t="s">
        <v>380</v>
      </c>
      <c r="W122" s="11" t="s">
        <v>381</v>
      </c>
      <c r="X122" s="11" t="s">
        <v>1245</v>
      </c>
      <c r="Y122" s="11" t="s">
        <v>382</v>
      </c>
      <c r="Z122" s="11" t="s">
        <v>1246</v>
      </c>
      <c r="AA122" s="11" t="s">
        <v>1247</v>
      </c>
    </row>
    <row r="123" spans="1:27">
      <c r="A123" s="12">
        <v>122</v>
      </c>
      <c r="B123" s="13">
        <v>96</v>
      </c>
      <c r="C123" s="13">
        <v>122</v>
      </c>
      <c r="D123" s="13">
        <v>143</v>
      </c>
      <c r="E123" s="13">
        <v>118</v>
      </c>
      <c r="F123" s="14">
        <f t="shared" si="1"/>
        <v>3.05</v>
      </c>
      <c r="G123" s="13">
        <v>4</v>
      </c>
      <c r="H123" s="13">
        <v>3</v>
      </c>
      <c r="I123" s="13">
        <v>1</v>
      </c>
      <c r="J123" s="13">
        <v>4</v>
      </c>
      <c r="K123" s="15" t="s">
        <v>423</v>
      </c>
      <c r="L123" s="15" t="s">
        <v>1248</v>
      </c>
      <c r="M123" s="15" t="s">
        <v>1249</v>
      </c>
      <c r="N123" s="15" t="s">
        <v>1250</v>
      </c>
      <c r="O123" s="15" t="s">
        <v>375</v>
      </c>
      <c r="P123" s="15" t="s">
        <v>376</v>
      </c>
      <c r="Q123" s="15" t="s">
        <v>193</v>
      </c>
      <c r="R123" s="15" t="s">
        <v>1251</v>
      </c>
      <c r="S123" s="15" t="s">
        <v>1252</v>
      </c>
      <c r="T123" s="15" t="s">
        <v>185</v>
      </c>
      <c r="U123" s="15" t="s">
        <v>1253</v>
      </c>
      <c r="V123" s="15" t="s">
        <v>380</v>
      </c>
      <c r="W123" s="15" t="s">
        <v>381</v>
      </c>
      <c r="X123" s="15" t="s">
        <v>1253</v>
      </c>
      <c r="Y123" s="15" t="s">
        <v>382</v>
      </c>
      <c r="Z123" s="15" t="s">
        <v>1254</v>
      </c>
      <c r="AA123" s="15" t="s">
        <v>1255</v>
      </c>
    </row>
    <row r="124" spans="1:27">
      <c r="A124" s="8">
        <v>123</v>
      </c>
      <c r="B124" s="9">
        <v>97</v>
      </c>
      <c r="C124" s="9">
        <v>123</v>
      </c>
      <c r="D124" s="9">
        <v>144</v>
      </c>
      <c r="E124" s="9">
        <v>119</v>
      </c>
      <c r="F124" s="10">
        <f t="shared" si="1"/>
        <v>3.05</v>
      </c>
      <c r="G124" s="9">
        <v>4</v>
      </c>
      <c r="H124" s="9">
        <v>3</v>
      </c>
      <c r="I124" s="9">
        <v>1</v>
      </c>
      <c r="J124" s="9">
        <v>4</v>
      </c>
      <c r="K124" s="11" t="s">
        <v>423</v>
      </c>
      <c r="L124" s="11" t="s">
        <v>1256</v>
      </c>
      <c r="M124" s="11" t="s">
        <v>1257</v>
      </c>
      <c r="N124" s="11" t="s">
        <v>1258</v>
      </c>
      <c r="O124" s="11" t="s">
        <v>375</v>
      </c>
      <c r="P124" s="11" t="s">
        <v>376</v>
      </c>
      <c r="Q124" s="11" t="s">
        <v>193</v>
      </c>
      <c r="R124" s="11" t="s">
        <v>1259</v>
      </c>
      <c r="S124" s="11" t="s">
        <v>1260</v>
      </c>
      <c r="T124" s="11" t="s">
        <v>185</v>
      </c>
      <c r="U124" s="11" t="s">
        <v>1261</v>
      </c>
      <c r="V124" s="11" t="s">
        <v>380</v>
      </c>
      <c r="W124" s="11" t="s">
        <v>381</v>
      </c>
      <c r="X124" s="11" t="s">
        <v>1261</v>
      </c>
      <c r="Y124" s="11" t="s">
        <v>382</v>
      </c>
      <c r="Z124" s="11" t="s">
        <v>1262</v>
      </c>
      <c r="AA124" s="11" t="s">
        <v>1263</v>
      </c>
    </row>
    <row r="125" spans="1:27">
      <c r="A125" s="12">
        <v>124</v>
      </c>
      <c r="B125" s="13">
        <v>98</v>
      </c>
      <c r="C125" s="13">
        <v>124</v>
      </c>
      <c r="D125" s="13">
        <v>145</v>
      </c>
      <c r="E125" s="13">
        <v>120</v>
      </c>
      <c r="F125" s="14">
        <f t="shared" si="1"/>
        <v>3.05</v>
      </c>
      <c r="G125" s="13">
        <v>4</v>
      </c>
      <c r="H125" s="13">
        <v>3</v>
      </c>
      <c r="I125" s="13">
        <v>1</v>
      </c>
      <c r="J125" s="13">
        <v>4</v>
      </c>
      <c r="K125" s="15" t="s">
        <v>423</v>
      </c>
      <c r="L125" s="15" t="s">
        <v>1264</v>
      </c>
      <c r="M125" s="15" t="s">
        <v>1265</v>
      </c>
      <c r="N125" s="15" t="s">
        <v>1266</v>
      </c>
      <c r="O125" s="15" t="s">
        <v>375</v>
      </c>
      <c r="P125" s="15" t="s">
        <v>376</v>
      </c>
      <c r="Q125" s="15" t="s">
        <v>193</v>
      </c>
      <c r="R125" s="15" t="s">
        <v>1267</v>
      </c>
      <c r="S125" s="15" t="s">
        <v>1268</v>
      </c>
      <c r="T125" s="15" t="s">
        <v>185</v>
      </c>
      <c r="U125" s="15" t="s">
        <v>1269</v>
      </c>
      <c r="V125" s="15" t="s">
        <v>380</v>
      </c>
      <c r="W125" s="15" t="s">
        <v>381</v>
      </c>
      <c r="X125" s="15" t="s">
        <v>1269</v>
      </c>
      <c r="Y125" s="15" t="s">
        <v>382</v>
      </c>
      <c r="Z125" s="15" t="s">
        <v>1270</v>
      </c>
      <c r="AA125" s="15" t="s">
        <v>1271</v>
      </c>
    </row>
    <row r="126" spans="1:27">
      <c r="A126" s="8">
        <v>125</v>
      </c>
      <c r="B126" s="9">
        <v>99</v>
      </c>
      <c r="C126" s="9">
        <v>125</v>
      </c>
      <c r="D126" s="9">
        <v>146</v>
      </c>
      <c r="E126" s="9">
        <v>121</v>
      </c>
      <c r="F126" s="10">
        <f t="shared" si="1"/>
        <v>3.05</v>
      </c>
      <c r="G126" s="9">
        <v>4</v>
      </c>
      <c r="H126" s="9">
        <v>3</v>
      </c>
      <c r="I126" s="9">
        <v>1</v>
      </c>
      <c r="J126" s="9">
        <v>4</v>
      </c>
      <c r="K126" s="11" t="s">
        <v>423</v>
      </c>
      <c r="L126" s="11" t="s">
        <v>1272</v>
      </c>
      <c r="M126" s="11" t="s">
        <v>673</v>
      </c>
      <c r="N126" s="11" t="s">
        <v>1273</v>
      </c>
      <c r="O126" s="11" t="s">
        <v>375</v>
      </c>
      <c r="P126" s="11" t="s">
        <v>376</v>
      </c>
      <c r="Q126" s="11" t="s">
        <v>193</v>
      </c>
      <c r="R126" s="11" t="s">
        <v>1274</v>
      </c>
      <c r="S126" s="11" t="s">
        <v>1275</v>
      </c>
      <c r="T126" s="11" t="s">
        <v>185</v>
      </c>
      <c r="U126" s="11" t="s">
        <v>1276</v>
      </c>
      <c r="V126" s="11" t="s">
        <v>380</v>
      </c>
      <c r="W126" s="11" t="s">
        <v>381</v>
      </c>
      <c r="X126" s="11" t="s">
        <v>1276</v>
      </c>
      <c r="Y126" s="11" t="s">
        <v>382</v>
      </c>
      <c r="Z126" s="11" t="s">
        <v>1277</v>
      </c>
      <c r="AA126" s="11" t="s">
        <v>679</v>
      </c>
    </row>
    <row r="127" spans="1:27">
      <c r="A127" s="12">
        <v>126</v>
      </c>
      <c r="B127" s="13">
        <v>30</v>
      </c>
      <c r="C127" s="13">
        <v>143</v>
      </c>
      <c r="D127" s="13">
        <v>147</v>
      </c>
      <c r="E127" s="13">
        <v>122</v>
      </c>
      <c r="F127" s="14">
        <f t="shared" si="1"/>
        <v>3.05</v>
      </c>
      <c r="G127" s="13">
        <v>5</v>
      </c>
      <c r="H127" s="13">
        <v>2</v>
      </c>
      <c r="I127" s="13">
        <v>1</v>
      </c>
      <c r="J127" s="13">
        <v>4</v>
      </c>
      <c r="K127" s="15" t="s">
        <v>423</v>
      </c>
      <c r="L127" s="15" t="s">
        <v>1278</v>
      </c>
      <c r="M127" s="15" t="s">
        <v>1279</v>
      </c>
      <c r="N127" s="15" t="s">
        <v>1280</v>
      </c>
      <c r="O127" s="15" t="s">
        <v>375</v>
      </c>
      <c r="P127" s="15" t="s">
        <v>376</v>
      </c>
      <c r="Q127" s="15" t="s">
        <v>193</v>
      </c>
      <c r="R127" s="15" t="s">
        <v>1281</v>
      </c>
      <c r="S127" s="15" t="s">
        <v>1282</v>
      </c>
      <c r="T127" s="15" t="s">
        <v>1283</v>
      </c>
      <c r="U127" s="15" t="s">
        <v>1284</v>
      </c>
      <c r="V127" s="15" t="s">
        <v>380</v>
      </c>
      <c r="W127" s="15" t="s">
        <v>381</v>
      </c>
      <c r="X127" s="15" t="s">
        <v>1284</v>
      </c>
      <c r="Y127" s="15" t="s">
        <v>382</v>
      </c>
      <c r="Z127" s="15" t="s">
        <v>1285</v>
      </c>
      <c r="AA127" s="15" t="s">
        <v>1286</v>
      </c>
    </row>
    <row r="128" spans="1:27">
      <c r="A128" s="8">
        <v>127</v>
      </c>
      <c r="B128" s="9">
        <v>131</v>
      </c>
      <c r="C128" s="9">
        <v>126</v>
      </c>
      <c r="D128" s="9">
        <v>98</v>
      </c>
      <c r="E128" s="9">
        <v>148</v>
      </c>
      <c r="F128" s="10">
        <f t="shared" si="1"/>
        <v>3</v>
      </c>
      <c r="G128" s="9">
        <v>3</v>
      </c>
      <c r="H128" s="9">
        <v>3</v>
      </c>
      <c r="I128" s="9">
        <v>3</v>
      </c>
      <c r="J128" s="9">
        <v>3</v>
      </c>
      <c r="K128" s="11" t="s">
        <v>372</v>
      </c>
      <c r="L128" s="11" t="s">
        <v>1287</v>
      </c>
      <c r="M128" s="11" t="s">
        <v>1112</v>
      </c>
      <c r="N128" s="11" t="s">
        <v>1288</v>
      </c>
      <c r="O128" s="11" t="s">
        <v>375</v>
      </c>
      <c r="P128" s="11" t="s">
        <v>376</v>
      </c>
      <c r="Q128" s="11" t="s">
        <v>193</v>
      </c>
      <c r="R128" s="11" t="s">
        <v>1289</v>
      </c>
      <c r="S128" s="11" t="s">
        <v>1290</v>
      </c>
      <c r="T128" s="11" t="s">
        <v>185</v>
      </c>
      <c r="U128" s="11" t="s">
        <v>1291</v>
      </c>
      <c r="V128" s="11" t="s">
        <v>380</v>
      </c>
      <c r="W128" s="11" t="s">
        <v>381</v>
      </c>
      <c r="X128" s="11" t="s">
        <v>1291</v>
      </c>
      <c r="Y128" s="11" t="s">
        <v>382</v>
      </c>
      <c r="Z128" s="11" t="s">
        <v>1292</v>
      </c>
      <c r="AA128" s="11" t="s">
        <v>1049</v>
      </c>
    </row>
    <row r="129" spans="1:27">
      <c r="A129" s="12">
        <v>128</v>
      </c>
      <c r="B129" s="13">
        <v>132</v>
      </c>
      <c r="C129" s="13">
        <v>127</v>
      </c>
      <c r="D129" s="13">
        <v>99</v>
      </c>
      <c r="E129" s="13">
        <v>149</v>
      </c>
      <c r="F129" s="14">
        <f t="shared" si="1"/>
        <v>3</v>
      </c>
      <c r="G129" s="13">
        <v>3</v>
      </c>
      <c r="H129" s="13">
        <v>3</v>
      </c>
      <c r="I129" s="13">
        <v>3</v>
      </c>
      <c r="J129" s="13">
        <v>3</v>
      </c>
      <c r="K129" s="15" t="s">
        <v>372</v>
      </c>
      <c r="L129" s="15" t="s">
        <v>1293</v>
      </c>
      <c r="M129" s="15" t="s">
        <v>1294</v>
      </c>
      <c r="N129" s="15" t="s">
        <v>1295</v>
      </c>
      <c r="O129" s="15" t="s">
        <v>375</v>
      </c>
      <c r="P129" s="15" t="s">
        <v>376</v>
      </c>
      <c r="Q129" s="15" t="s">
        <v>193</v>
      </c>
      <c r="R129" s="15" t="s">
        <v>1296</v>
      </c>
      <c r="S129" s="15" t="s">
        <v>1297</v>
      </c>
      <c r="T129" s="15" t="s">
        <v>185</v>
      </c>
      <c r="U129" s="15" t="s">
        <v>1298</v>
      </c>
      <c r="V129" s="15" t="s">
        <v>380</v>
      </c>
      <c r="W129" s="15" t="s">
        <v>381</v>
      </c>
      <c r="X129" s="15" t="s">
        <v>1298</v>
      </c>
      <c r="Y129" s="15" t="s">
        <v>382</v>
      </c>
      <c r="Z129" s="15" t="s">
        <v>1299</v>
      </c>
      <c r="AA129" s="15" t="s">
        <v>1049</v>
      </c>
    </row>
    <row r="130" spans="1:27">
      <c r="A130" s="8">
        <v>129</v>
      </c>
      <c r="B130" s="9">
        <v>133</v>
      </c>
      <c r="C130" s="9">
        <v>128</v>
      </c>
      <c r="D130" s="9">
        <v>118</v>
      </c>
      <c r="E130" s="9">
        <v>123</v>
      </c>
      <c r="F130" s="10">
        <f t="shared" ref="F130:F156" si="2">ROUND(0.35*G130+0.35*H130+0.2*I130+0.1*J130,2)</f>
        <v>2.9</v>
      </c>
      <c r="G130" s="9">
        <v>3</v>
      </c>
      <c r="H130" s="9">
        <v>3</v>
      </c>
      <c r="I130" s="9">
        <v>2</v>
      </c>
      <c r="J130" s="9">
        <v>4</v>
      </c>
      <c r="K130" s="11" t="s">
        <v>372</v>
      </c>
      <c r="L130" s="11" t="s">
        <v>1300</v>
      </c>
      <c r="M130" s="11" t="s">
        <v>1301</v>
      </c>
      <c r="N130" s="11" t="s">
        <v>1302</v>
      </c>
      <c r="O130" s="11" t="s">
        <v>375</v>
      </c>
      <c r="P130" s="11" t="s">
        <v>376</v>
      </c>
      <c r="Q130" s="11" t="s">
        <v>193</v>
      </c>
      <c r="R130" s="11" t="s">
        <v>1303</v>
      </c>
      <c r="S130" s="11" t="s">
        <v>1304</v>
      </c>
      <c r="T130" s="11" t="s">
        <v>185</v>
      </c>
      <c r="U130" s="11" t="s">
        <v>1305</v>
      </c>
      <c r="V130" s="11" t="s">
        <v>380</v>
      </c>
      <c r="W130" s="11" t="s">
        <v>381</v>
      </c>
      <c r="X130" s="11" t="s">
        <v>1305</v>
      </c>
      <c r="Y130" s="11" t="s">
        <v>382</v>
      </c>
      <c r="Z130" s="11" t="s">
        <v>1306</v>
      </c>
      <c r="AA130" s="11" t="s">
        <v>1004</v>
      </c>
    </row>
    <row r="131" spans="1:27">
      <c r="A131" s="12">
        <v>130</v>
      </c>
      <c r="B131" s="13">
        <v>134</v>
      </c>
      <c r="C131" s="13">
        <v>129</v>
      </c>
      <c r="D131" s="13">
        <v>119</v>
      </c>
      <c r="E131" s="13">
        <v>124</v>
      </c>
      <c r="F131" s="14">
        <f t="shared" si="2"/>
        <v>2.9</v>
      </c>
      <c r="G131" s="13">
        <v>3</v>
      </c>
      <c r="H131" s="13">
        <v>3</v>
      </c>
      <c r="I131" s="13">
        <v>2</v>
      </c>
      <c r="J131" s="13">
        <v>4</v>
      </c>
      <c r="K131" s="15" t="s">
        <v>372</v>
      </c>
      <c r="L131" s="15" t="s">
        <v>1307</v>
      </c>
      <c r="M131" s="15" t="s">
        <v>1308</v>
      </c>
      <c r="N131" s="15" t="s">
        <v>1309</v>
      </c>
      <c r="O131" s="15" t="s">
        <v>375</v>
      </c>
      <c r="P131" s="15" t="s">
        <v>376</v>
      </c>
      <c r="Q131" s="15" t="s">
        <v>193</v>
      </c>
      <c r="R131" s="15" t="s">
        <v>1310</v>
      </c>
      <c r="S131" s="15" t="s">
        <v>1311</v>
      </c>
      <c r="T131" s="15" t="s">
        <v>185</v>
      </c>
      <c r="U131" s="15" t="s">
        <v>1312</v>
      </c>
      <c r="V131" s="15" t="s">
        <v>380</v>
      </c>
      <c r="W131" s="15" t="s">
        <v>381</v>
      </c>
      <c r="X131" s="15" t="s">
        <v>1312</v>
      </c>
      <c r="Y131" s="15" t="s">
        <v>382</v>
      </c>
      <c r="Z131" s="15" t="s">
        <v>1313</v>
      </c>
      <c r="AA131" s="15" t="s">
        <v>57</v>
      </c>
    </row>
    <row r="132" spans="1:27">
      <c r="A132" s="8">
        <v>131</v>
      </c>
      <c r="B132" s="9">
        <v>135</v>
      </c>
      <c r="C132" s="9">
        <v>130</v>
      </c>
      <c r="D132" s="9">
        <v>120</v>
      </c>
      <c r="E132" s="9">
        <v>125</v>
      </c>
      <c r="F132" s="10">
        <f t="shared" si="2"/>
        <v>2.9</v>
      </c>
      <c r="G132" s="9">
        <v>3</v>
      </c>
      <c r="H132" s="9">
        <v>3</v>
      </c>
      <c r="I132" s="9">
        <v>2</v>
      </c>
      <c r="J132" s="9">
        <v>4</v>
      </c>
      <c r="K132" s="11" t="s">
        <v>372</v>
      </c>
      <c r="L132" s="11" t="s">
        <v>1314</v>
      </c>
      <c r="M132" s="11" t="s">
        <v>1315</v>
      </c>
      <c r="N132" s="11" t="s">
        <v>1316</v>
      </c>
      <c r="O132" s="11" t="s">
        <v>375</v>
      </c>
      <c r="P132" s="11" t="s">
        <v>376</v>
      </c>
      <c r="Q132" s="11" t="s">
        <v>193</v>
      </c>
      <c r="R132" s="11" t="s">
        <v>1317</v>
      </c>
      <c r="S132" s="11" t="s">
        <v>1318</v>
      </c>
      <c r="T132" s="11" t="s">
        <v>185</v>
      </c>
      <c r="U132" s="11" t="s">
        <v>1319</v>
      </c>
      <c r="V132" s="11" t="s">
        <v>380</v>
      </c>
      <c r="W132" s="11" t="s">
        <v>381</v>
      </c>
      <c r="X132" s="11" t="s">
        <v>1319</v>
      </c>
      <c r="Y132" s="11" t="s">
        <v>382</v>
      </c>
      <c r="Z132" s="11" t="s">
        <v>1320</v>
      </c>
      <c r="AA132" s="11" t="s">
        <v>1004</v>
      </c>
    </row>
    <row r="133" spans="1:27">
      <c r="A133" s="12">
        <v>132</v>
      </c>
      <c r="B133" s="13">
        <v>136</v>
      </c>
      <c r="C133" s="13">
        <v>131</v>
      </c>
      <c r="D133" s="13">
        <v>121</v>
      </c>
      <c r="E133" s="13">
        <v>126</v>
      </c>
      <c r="F133" s="14">
        <f t="shared" si="2"/>
        <v>2.9</v>
      </c>
      <c r="G133" s="13">
        <v>3</v>
      </c>
      <c r="H133" s="13">
        <v>3</v>
      </c>
      <c r="I133" s="13">
        <v>2</v>
      </c>
      <c r="J133" s="13">
        <v>4</v>
      </c>
      <c r="K133" s="15" t="s">
        <v>372</v>
      </c>
      <c r="L133" s="15" t="s">
        <v>1321</v>
      </c>
      <c r="M133" s="15" t="s">
        <v>1322</v>
      </c>
      <c r="N133" s="15" t="s">
        <v>1323</v>
      </c>
      <c r="O133" s="15" t="s">
        <v>375</v>
      </c>
      <c r="P133" s="15" t="s">
        <v>376</v>
      </c>
      <c r="Q133" s="15" t="s">
        <v>193</v>
      </c>
      <c r="R133" s="15" t="s">
        <v>1324</v>
      </c>
      <c r="S133" s="15" t="s">
        <v>1325</v>
      </c>
      <c r="T133" s="15" t="s">
        <v>185</v>
      </c>
      <c r="U133" s="15" t="s">
        <v>1326</v>
      </c>
      <c r="V133" s="15" t="s">
        <v>380</v>
      </c>
      <c r="W133" s="15" t="s">
        <v>381</v>
      </c>
      <c r="X133" s="15" t="s">
        <v>1326</v>
      </c>
      <c r="Y133" s="15" t="s">
        <v>382</v>
      </c>
      <c r="Z133" s="15" t="s">
        <v>1327</v>
      </c>
      <c r="AA133" s="15" t="s">
        <v>1004</v>
      </c>
    </row>
    <row r="134" spans="1:27">
      <c r="A134" s="8">
        <v>133</v>
      </c>
      <c r="B134" s="9">
        <v>137</v>
      </c>
      <c r="C134" s="9">
        <v>132</v>
      </c>
      <c r="D134" s="9">
        <v>122</v>
      </c>
      <c r="E134" s="9">
        <v>127</v>
      </c>
      <c r="F134" s="10">
        <f t="shared" si="2"/>
        <v>2.9</v>
      </c>
      <c r="G134" s="9">
        <v>3</v>
      </c>
      <c r="H134" s="9">
        <v>3</v>
      </c>
      <c r="I134" s="9">
        <v>2</v>
      </c>
      <c r="J134" s="9">
        <v>4</v>
      </c>
      <c r="K134" s="11" t="s">
        <v>372</v>
      </c>
      <c r="L134" s="11" t="s">
        <v>1328</v>
      </c>
      <c r="M134" s="11" t="s">
        <v>1329</v>
      </c>
      <c r="N134" s="11" t="s">
        <v>1330</v>
      </c>
      <c r="O134" s="11" t="s">
        <v>375</v>
      </c>
      <c r="P134" s="11" t="s">
        <v>376</v>
      </c>
      <c r="Q134" s="11" t="s">
        <v>193</v>
      </c>
      <c r="R134" s="11" t="s">
        <v>1331</v>
      </c>
      <c r="S134" s="11" t="s">
        <v>1332</v>
      </c>
      <c r="T134" s="11" t="s">
        <v>185</v>
      </c>
      <c r="U134" s="11" t="s">
        <v>1333</v>
      </c>
      <c r="V134" s="11" t="s">
        <v>380</v>
      </c>
      <c r="W134" s="11" t="s">
        <v>381</v>
      </c>
      <c r="X134" s="11" t="s">
        <v>1333</v>
      </c>
      <c r="Y134" s="11" t="s">
        <v>382</v>
      </c>
      <c r="Z134" s="11" t="s">
        <v>1334</v>
      </c>
      <c r="AA134" s="11" t="s">
        <v>57</v>
      </c>
    </row>
    <row r="135" spans="1:27">
      <c r="A135" s="12">
        <v>134</v>
      </c>
      <c r="B135" s="13">
        <v>138</v>
      </c>
      <c r="C135" s="13">
        <v>133</v>
      </c>
      <c r="D135" s="13">
        <v>123</v>
      </c>
      <c r="E135" s="13">
        <v>128</v>
      </c>
      <c r="F135" s="14">
        <f t="shared" si="2"/>
        <v>2.9</v>
      </c>
      <c r="G135" s="13">
        <v>3</v>
      </c>
      <c r="H135" s="13">
        <v>3</v>
      </c>
      <c r="I135" s="13">
        <v>2</v>
      </c>
      <c r="J135" s="13">
        <v>4</v>
      </c>
      <c r="K135" s="15" t="s">
        <v>372</v>
      </c>
      <c r="L135" s="15" t="s">
        <v>1335</v>
      </c>
      <c r="M135" s="15" t="s">
        <v>1336</v>
      </c>
      <c r="N135" s="15" t="s">
        <v>1337</v>
      </c>
      <c r="O135" s="15" t="s">
        <v>375</v>
      </c>
      <c r="P135" s="15" t="s">
        <v>376</v>
      </c>
      <c r="Q135" s="15" t="s">
        <v>193</v>
      </c>
      <c r="R135" s="15" t="s">
        <v>1338</v>
      </c>
      <c r="S135" s="15" t="s">
        <v>1339</v>
      </c>
      <c r="T135" s="15" t="s">
        <v>185</v>
      </c>
      <c r="U135" s="15" t="s">
        <v>1340</v>
      </c>
      <c r="V135" s="15" t="s">
        <v>380</v>
      </c>
      <c r="W135" s="15" t="s">
        <v>381</v>
      </c>
      <c r="X135" s="15" t="s">
        <v>1340</v>
      </c>
      <c r="Y135" s="15" t="s">
        <v>382</v>
      </c>
      <c r="Z135" s="15" t="s">
        <v>1341</v>
      </c>
      <c r="AA135" s="15" t="s">
        <v>1342</v>
      </c>
    </row>
    <row r="136" spans="1:27">
      <c r="A136" s="8">
        <v>135</v>
      </c>
      <c r="B136" s="9">
        <v>139</v>
      </c>
      <c r="C136" s="9">
        <v>134</v>
      </c>
      <c r="D136" s="9">
        <v>124</v>
      </c>
      <c r="E136" s="9">
        <v>129</v>
      </c>
      <c r="F136" s="10">
        <f t="shared" si="2"/>
        <v>2.9</v>
      </c>
      <c r="G136" s="9">
        <v>3</v>
      </c>
      <c r="H136" s="9">
        <v>3</v>
      </c>
      <c r="I136" s="9">
        <v>2</v>
      </c>
      <c r="J136" s="9">
        <v>4</v>
      </c>
      <c r="K136" s="11" t="s">
        <v>372</v>
      </c>
      <c r="L136" s="11" t="s">
        <v>1343</v>
      </c>
      <c r="M136" s="11" t="s">
        <v>1344</v>
      </c>
      <c r="N136" s="11" t="s">
        <v>1345</v>
      </c>
      <c r="O136" s="11" t="s">
        <v>375</v>
      </c>
      <c r="P136" s="11" t="s">
        <v>376</v>
      </c>
      <c r="Q136" s="11" t="s">
        <v>193</v>
      </c>
      <c r="R136" s="11" t="s">
        <v>1346</v>
      </c>
      <c r="S136" s="11" t="s">
        <v>1347</v>
      </c>
      <c r="T136" s="11" t="s">
        <v>185</v>
      </c>
      <c r="U136" s="11" t="s">
        <v>1348</v>
      </c>
      <c r="V136" s="11" t="s">
        <v>380</v>
      </c>
      <c r="W136" s="11" t="s">
        <v>381</v>
      </c>
      <c r="X136" s="11" t="s">
        <v>1348</v>
      </c>
      <c r="Y136" s="11" t="s">
        <v>382</v>
      </c>
      <c r="Z136" s="11" t="s">
        <v>1349</v>
      </c>
      <c r="AA136" s="11" t="s">
        <v>57</v>
      </c>
    </row>
    <row r="137" spans="1:27">
      <c r="A137" s="12">
        <v>136</v>
      </c>
      <c r="B137" s="13">
        <v>140</v>
      </c>
      <c r="C137" s="13">
        <v>135</v>
      </c>
      <c r="D137" s="13">
        <v>125</v>
      </c>
      <c r="E137" s="13">
        <v>130</v>
      </c>
      <c r="F137" s="14">
        <f t="shared" si="2"/>
        <v>2.9</v>
      </c>
      <c r="G137" s="13">
        <v>3</v>
      </c>
      <c r="H137" s="13">
        <v>3</v>
      </c>
      <c r="I137" s="13">
        <v>2</v>
      </c>
      <c r="J137" s="13">
        <v>4</v>
      </c>
      <c r="K137" s="15" t="s">
        <v>372</v>
      </c>
      <c r="L137" s="15" t="s">
        <v>1350</v>
      </c>
      <c r="M137" s="15" t="s">
        <v>1351</v>
      </c>
      <c r="N137" s="15" t="s">
        <v>1352</v>
      </c>
      <c r="O137" s="15" t="s">
        <v>375</v>
      </c>
      <c r="P137" s="15" t="s">
        <v>376</v>
      </c>
      <c r="Q137" s="15" t="s">
        <v>193</v>
      </c>
      <c r="R137" s="15" t="s">
        <v>1353</v>
      </c>
      <c r="S137" s="15" t="s">
        <v>1354</v>
      </c>
      <c r="T137" s="15" t="s">
        <v>185</v>
      </c>
      <c r="U137" s="15" t="s">
        <v>1355</v>
      </c>
      <c r="V137" s="15" t="s">
        <v>380</v>
      </c>
      <c r="W137" s="15" t="s">
        <v>381</v>
      </c>
      <c r="X137" s="15" t="s">
        <v>1355</v>
      </c>
      <c r="Y137" s="15" t="s">
        <v>382</v>
      </c>
      <c r="Z137" s="15" t="s">
        <v>1356</v>
      </c>
      <c r="AA137" s="15" t="s">
        <v>1049</v>
      </c>
    </row>
    <row r="138" spans="1:27">
      <c r="A138" s="8">
        <v>137</v>
      </c>
      <c r="B138" s="9">
        <v>141</v>
      </c>
      <c r="C138" s="9">
        <v>136</v>
      </c>
      <c r="D138" s="9">
        <v>126</v>
      </c>
      <c r="E138" s="9">
        <v>131</v>
      </c>
      <c r="F138" s="10">
        <f t="shared" si="2"/>
        <v>2.9</v>
      </c>
      <c r="G138" s="9">
        <v>3</v>
      </c>
      <c r="H138" s="9">
        <v>3</v>
      </c>
      <c r="I138" s="9">
        <v>2</v>
      </c>
      <c r="J138" s="9">
        <v>4</v>
      </c>
      <c r="K138" s="11" t="s">
        <v>372</v>
      </c>
      <c r="L138" s="11" t="s">
        <v>1357</v>
      </c>
      <c r="M138" s="11" t="s">
        <v>1358</v>
      </c>
      <c r="N138" s="11" t="s">
        <v>1359</v>
      </c>
      <c r="O138" s="11" t="s">
        <v>375</v>
      </c>
      <c r="P138" s="11" t="s">
        <v>376</v>
      </c>
      <c r="Q138" s="11" t="s">
        <v>193</v>
      </c>
      <c r="R138" s="11" t="s">
        <v>1360</v>
      </c>
      <c r="S138" s="11" t="s">
        <v>1361</v>
      </c>
      <c r="T138" s="11" t="s">
        <v>185</v>
      </c>
      <c r="U138" s="11" t="s">
        <v>1362</v>
      </c>
      <c r="V138" s="11" t="s">
        <v>380</v>
      </c>
      <c r="W138" s="11" t="s">
        <v>381</v>
      </c>
      <c r="X138" s="11" t="s">
        <v>1362</v>
      </c>
      <c r="Y138" s="11" t="s">
        <v>382</v>
      </c>
      <c r="Z138" s="11" t="s">
        <v>1363</v>
      </c>
      <c r="AA138" s="11" t="s">
        <v>57</v>
      </c>
    </row>
    <row r="139" spans="1:27">
      <c r="A139" s="12">
        <v>138</v>
      </c>
      <c r="B139" s="13">
        <v>142</v>
      </c>
      <c r="C139" s="13">
        <v>137</v>
      </c>
      <c r="D139" s="13">
        <v>127</v>
      </c>
      <c r="E139" s="13">
        <v>132</v>
      </c>
      <c r="F139" s="14">
        <f t="shared" si="2"/>
        <v>2.9</v>
      </c>
      <c r="G139" s="13">
        <v>3</v>
      </c>
      <c r="H139" s="13">
        <v>3</v>
      </c>
      <c r="I139" s="13">
        <v>2</v>
      </c>
      <c r="J139" s="13">
        <v>4</v>
      </c>
      <c r="K139" s="15" t="s">
        <v>372</v>
      </c>
      <c r="L139" s="15" t="s">
        <v>1364</v>
      </c>
      <c r="M139" s="15" t="s">
        <v>1365</v>
      </c>
      <c r="N139" s="15" t="s">
        <v>1366</v>
      </c>
      <c r="O139" s="15" t="s">
        <v>375</v>
      </c>
      <c r="P139" s="15" t="s">
        <v>376</v>
      </c>
      <c r="Q139" s="15" t="s">
        <v>193</v>
      </c>
      <c r="R139" s="15" t="s">
        <v>1367</v>
      </c>
      <c r="S139" s="15" t="s">
        <v>1368</v>
      </c>
      <c r="T139" s="15" t="s">
        <v>185</v>
      </c>
      <c r="U139" s="15" t="s">
        <v>1369</v>
      </c>
      <c r="V139" s="15" t="s">
        <v>380</v>
      </c>
      <c r="W139" s="15" t="s">
        <v>381</v>
      </c>
      <c r="X139" s="15" t="s">
        <v>1369</v>
      </c>
      <c r="Y139" s="15" t="s">
        <v>382</v>
      </c>
      <c r="Z139" s="15" t="s">
        <v>1370</v>
      </c>
      <c r="AA139" s="15" t="s">
        <v>843</v>
      </c>
    </row>
    <row r="140" spans="1:27">
      <c r="A140" s="8">
        <v>139</v>
      </c>
      <c r="B140" s="9">
        <v>143</v>
      </c>
      <c r="C140" s="9">
        <v>138</v>
      </c>
      <c r="D140" s="9">
        <v>128</v>
      </c>
      <c r="E140" s="9">
        <v>133</v>
      </c>
      <c r="F140" s="10">
        <f t="shared" si="2"/>
        <v>2.9</v>
      </c>
      <c r="G140" s="9">
        <v>3</v>
      </c>
      <c r="H140" s="9">
        <v>3</v>
      </c>
      <c r="I140" s="9">
        <v>2</v>
      </c>
      <c r="J140" s="9">
        <v>4</v>
      </c>
      <c r="K140" s="11" t="s">
        <v>929</v>
      </c>
      <c r="L140" s="11" t="s">
        <v>1371</v>
      </c>
      <c r="M140" s="11" t="s">
        <v>1372</v>
      </c>
      <c r="N140" s="11" t="s">
        <v>1373</v>
      </c>
      <c r="O140" s="11" t="s">
        <v>375</v>
      </c>
      <c r="P140" s="11" t="s">
        <v>376</v>
      </c>
      <c r="Q140" s="11" t="s">
        <v>193</v>
      </c>
      <c r="R140" s="11" t="s">
        <v>1374</v>
      </c>
      <c r="S140" s="11" t="s">
        <v>1375</v>
      </c>
      <c r="T140" s="11" t="s">
        <v>185</v>
      </c>
      <c r="U140" s="11" t="s">
        <v>1376</v>
      </c>
      <c r="V140" s="11" t="s">
        <v>380</v>
      </c>
      <c r="W140" s="11" t="s">
        <v>381</v>
      </c>
      <c r="X140" s="11" t="s">
        <v>1376</v>
      </c>
      <c r="Y140" s="11" t="s">
        <v>382</v>
      </c>
      <c r="Z140" s="11" t="s">
        <v>1377</v>
      </c>
      <c r="AA140" s="11" t="s">
        <v>1378</v>
      </c>
    </row>
    <row r="141" spans="1:27">
      <c r="A141" s="12">
        <v>140</v>
      </c>
      <c r="B141" s="13">
        <v>100</v>
      </c>
      <c r="C141" s="13">
        <v>144</v>
      </c>
      <c r="D141" s="13">
        <v>129</v>
      </c>
      <c r="E141" s="13">
        <v>134</v>
      </c>
      <c r="F141" s="14">
        <f t="shared" si="2"/>
        <v>2.9</v>
      </c>
      <c r="G141" s="13">
        <v>4</v>
      </c>
      <c r="H141" s="13">
        <v>2</v>
      </c>
      <c r="I141" s="13">
        <v>2</v>
      </c>
      <c r="J141" s="13">
        <v>4</v>
      </c>
      <c r="K141" s="15" t="s">
        <v>929</v>
      </c>
      <c r="L141" s="15" t="s">
        <v>1379</v>
      </c>
      <c r="M141" s="15" t="s">
        <v>1380</v>
      </c>
      <c r="N141" s="15" t="s">
        <v>1381</v>
      </c>
      <c r="O141" s="15" t="s">
        <v>375</v>
      </c>
      <c r="P141" s="15" t="s">
        <v>376</v>
      </c>
      <c r="Q141" s="15" t="s">
        <v>193</v>
      </c>
      <c r="R141" s="15" t="s">
        <v>1382</v>
      </c>
      <c r="S141" s="15" t="s">
        <v>1383</v>
      </c>
      <c r="T141" s="15" t="s">
        <v>1283</v>
      </c>
      <c r="U141" s="15" t="s">
        <v>1384</v>
      </c>
      <c r="V141" s="15" t="s">
        <v>380</v>
      </c>
      <c r="W141" s="15" t="s">
        <v>381</v>
      </c>
      <c r="X141" s="15" t="s">
        <v>1384</v>
      </c>
      <c r="Y141" s="15" t="s">
        <v>382</v>
      </c>
      <c r="Z141" s="15" t="s">
        <v>1385</v>
      </c>
      <c r="AA141" s="15" t="s">
        <v>1386</v>
      </c>
    </row>
    <row r="142" spans="1:27">
      <c r="A142" s="8">
        <v>141</v>
      </c>
      <c r="B142" s="9">
        <v>153</v>
      </c>
      <c r="C142" s="9">
        <v>139</v>
      </c>
      <c r="D142" s="9">
        <v>78</v>
      </c>
      <c r="E142" s="9">
        <v>150</v>
      </c>
      <c r="F142" s="10">
        <f t="shared" si="2"/>
        <v>2.85</v>
      </c>
      <c r="G142" s="9">
        <v>2</v>
      </c>
      <c r="H142" s="9">
        <v>3</v>
      </c>
      <c r="I142" s="9">
        <v>4</v>
      </c>
      <c r="J142" s="9">
        <v>3</v>
      </c>
      <c r="K142" s="11" t="s">
        <v>929</v>
      </c>
      <c r="L142" s="11" t="s">
        <v>1387</v>
      </c>
      <c r="M142" s="11" t="s">
        <v>1388</v>
      </c>
      <c r="N142" s="11" t="s">
        <v>1389</v>
      </c>
      <c r="O142" s="11" t="s">
        <v>375</v>
      </c>
      <c r="P142" s="11" t="s">
        <v>376</v>
      </c>
      <c r="Q142" s="11" t="s">
        <v>32</v>
      </c>
      <c r="R142" s="11" t="s">
        <v>1390</v>
      </c>
      <c r="S142" s="11" t="s">
        <v>1391</v>
      </c>
      <c r="T142" s="11" t="s">
        <v>185</v>
      </c>
      <c r="U142" s="11" t="s">
        <v>1392</v>
      </c>
      <c r="V142" s="11" t="s">
        <v>380</v>
      </c>
      <c r="W142" s="11" t="s">
        <v>381</v>
      </c>
      <c r="X142" s="11" t="s">
        <v>1392</v>
      </c>
      <c r="Y142" s="11" t="s">
        <v>382</v>
      </c>
      <c r="Z142" s="11" t="s">
        <v>1393</v>
      </c>
      <c r="AA142" s="11" t="s">
        <v>1394</v>
      </c>
    </row>
    <row r="143" spans="1:27">
      <c r="A143" s="12">
        <v>142</v>
      </c>
      <c r="B143" s="13">
        <v>144</v>
      </c>
      <c r="C143" s="13">
        <v>140</v>
      </c>
      <c r="D143" s="13">
        <v>130</v>
      </c>
      <c r="E143" s="13">
        <v>151</v>
      </c>
      <c r="F143" s="14">
        <f t="shared" si="2"/>
        <v>2.8</v>
      </c>
      <c r="G143" s="13">
        <v>3</v>
      </c>
      <c r="H143" s="13">
        <v>3</v>
      </c>
      <c r="I143" s="13">
        <v>2</v>
      </c>
      <c r="J143" s="13">
        <v>3</v>
      </c>
      <c r="K143" s="15" t="s">
        <v>372</v>
      </c>
      <c r="L143" s="15" t="s">
        <v>1395</v>
      </c>
      <c r="M143" s="15" t="s">
        <v>1396</v>
      </c>
      <c r="N143" s="15" t="s">
        <v>1397</v>
      </c>
      <c r="O143" s="15" t="s">
        <v>375</v>
      </c>
      <c r="P143" s="15" t="s">
        <v>376</v>
      </c>
      <c r="Q143" s="15" t="s">
        <v>193</v>
      </c>
      <c r="R143" s="15" t="s">
        <v>1398</v>
      </c>
      <c r="S143" s="15" t="s">
        <v>1399</v>
      </c>
      <c r="T143" s="15" t="s">
        <v>185</v>
      </c>
      <c r="U143" s="15" t="s">
        <v>1400</v>
      </c>
      <c r="V143" s="15" t="s">
        <v>380</v>
      </c>
      <c r="W143" s="15" t="s">
        <v>381</v>
      </c>
      <c r="X143" s="15" t="s">
        <v>1400</v>
      </c>
      <c r="Y143" s="15" t="s">
        <v>382</v>
      </c>
      <c r="Z143" s="15" t="s">
        <v>1401</v>
      </c>
      <c r="AA143" s="15" t="s">
        <v>1402</v>
      </c>
    </row>
    <row r="144" spans="1:27">
      <c r="A144" s="8">
        <v>143</v>
      </c>
      <c r="B144" s="9">
        <v>154</v>
      </c>
      <c r="C144" s="9">
        <v>141</v>
      </c>
      <c r="D144" s="9">
        <v>100</v>
      </c>
      <c r="E144" s="9">
        <v>135</v>
      </c>
      <c r="F144" s="10">
        <f t="shared" si="2"/>
        <v>2.75</v>
      </c>
      <c r="G144" s="9">
        <v>2</v>
      </c>
      <c r="H144" s="9">
        <v>3</v>
      </c>
      <c r="I144" s="9">
        <v>3</v>
      </c>
      <c r="J144" s="9">
        <v>4</v>
      </c>
      <c r="K144" s="11" t="s">
        <v>929</v>
      </c>
      <c r="L144" s="11" t="s">
        <v>1403</v>
      </c>
      <c r="M144" s="11" t="s">
        <v>1404</v>
      </c>
      <c r="N144" s="11" t="s">
        <v>1405</v>
      </c>
      <c r="O144" s="11" t="s">
        <v>375</v>
      </c>
      <c r="P144" s="11" t="s">
        <v>376</v>
      </c>
      <c r="Q144" s="11" t="s">
        <v>193</v>
      </c>
      <c r="R144" s="11" t="s">
        <v>1406</v>
      </c>
      <c r="S144" s="11" t="s">
        <v>1407</v>
      </c>
      <c r="T144" s="11" t="s">
        <v>185</v>
      </c>
      <c r="U144" s="11" t="s">
        <v>1408</v>
      </c>
      <c r="V144" s="11" t="s">
        <v>380</v>
      </c>
      <c r="W144" s="11" t="s">
        <v>381</v>
      </c>
      <c r="X144" s="11" t="s">
        <v>1408</v>
      </c>
      <c r="Y144" s="11" t="s">
        <v>382</v>
      </c>
      <c r="Z144" s="11" t="s">
        <v>1409</v>
      </c>
      <c r="AA144" s="11" t="s">
        <v>1410</v>
      </c>
    </row>
    <row r="145" spans="1:27">
      <c r="A145" s="12">
        <v>144</v>
      </c>
      <c r="B145" s="13">
        <v>145</v>
      </c>
      <c r="C145" s="13">
        <v>142</v>
      </c>
      <c r="D145" s="13">
        <v>148</v>
      </c>
      <c r="E145" s="13">
        <v>136</v>
      </c>
      <c r="F145" s="14">
        <f t="shared" si="2"/>
        <v>2.7</v>
      </c>
      <c r="G145" s="13">
        <v>3</v>
      </c>
      <c r="H145" s="13">
        <v>3</v>
      </c>
      <c r="I145" s="13">
        <v>1</v>
      </c>
      <c r="J145" s="13">
        <v>4</v>
      </c>
      <c r="K145" s="15" t="s">
        <v>423</v>
      </c>
      <c r="L145" s="15" t="s">
        <v>1411</v>
      </c>
      <c r="M145" s="15" t="s">
        <v>1412</v>
      </c>
      <c r="N145" s="15" t="s">
        <v>1413</v>
      </c>
      <c r="O145" s="15" t="s">
        <v>375</v>
      </c>
      <c r="P145" s="15" t="s">
        <v>376</v>
      </c>
      <c r="Q145" s="15" t="s">
        <v>193</v>
      </c>
      <c r="R145" s="15" t="s">
        <v>1414</v>
      </c>
      <c r="S145" s="15" t="s">
        <v>1415</v>
      </c>
      <c r="T145" s="15" t="s">
        <v>185</v>
      </c>
      <c r="U145" s="15" t="s">
        <v>1416</v>
      </c>
      <c r="V145" s="15" t="s">
        <v>380</v>
      </c>
      <c r="W145" s="15" t="s">
        <v>381</v>
      </c>
      <c r="X145" s="15" t="s">
        <v>1416</v>
      </c>
      <c r="Y145" s="15" t="s">
        <v>382</v>
      </c>
      <c r="Z145" s="15" t="s">
        <v>1417</v>
      </c>
      <c r="AA145" s="15" t="s">
        <v>1418</v>
      </c>
    </row>
    <row r="146" spans="1:27">
      <c r="A146" s="8">
        <v>145</v>
      </c>
      <c r="B146" s="9">
        <v>101</v>
      </c>
      <c r="C146" s="9">
        <v>145</v>
      </c>
      <c r="D146" s="9">
        <v>149</v>
      </c>
      <c r="E146" s="9">
        <v>137</v>
      </c>
      <c r="F146" s="10">
        <f t="shared" si="2"/>
        <v>2.7</v>
      </c>
      <c r="G146" s="9">
        <v>4</v>
      </c>
      <c r="H146" s="9">
        <v>2</v>
      </c>
      <c r="I146" s="9">
        <v>1</v>
      </c>
      <c r="J146" s="9">
        <v>4</v>
      </c>
      <c r="K146" s="11" t="s">
        <v>423</v>
      </c>
      <c r="L146" s="11" t="s">
        <v>1419</v>
      </c>
      <c r="M146" s="11" t="s">
        <v>1096</v>
      </c>
      <c r="N146" s="11" t="s">
        <v>1420</v>
      </c>
      <c r="O146" s="11" t="s">
        <v>375</v>
      </c>
      <c r="P146" s="11" t="s">
        <v>376</v>
      </c>
      <c r="Q146" s="11" t="s">
        <v>193</v>
      </c>
      <c r="R146" s="11" t="s">
        <v>1421</v>
      </c>
      <c r="S146" s="11" t="s">
        <v>1422</v>
      </c>
      <c r="T146" s="11" t="s">
        <v>1283</v>
      </c>
      <c r="U146" s="11" t="s">
        <v>1423</v>
      </c>
      <c r="V146" s="11" t="s">
        <v>380</v>
      </c>
      <c r="W146" s="11" t="s">
        <v>381</v>
      </c>
      <c r="X146" s="11" t="s">
        <v>1423</v>
      </c>
      <c r="Y146" s="11" t="s">
        <v>382</v>
      </c>
      <c r="Z146" s="11" t="s">
        <v>1424</v>
      </c>
      <c r="AA146" s="11" t="s">
        <v>1425</v>
      </c>
    </row>
    <row r="147" spans="1:27">
      <c r="A147" s="12">
        <v>146</v>
      </c>
      <c r="B147" s="13">
        <v>102</v>
      </c>
      <c r="C147" s="13">
        <v>146</v>
      </c>
      <c r="D147" s="13">
        <v>150</v>
      </c>
      <c r="E147" s="13">
        <v>138</v>
      </c>
      <c r="F147" s="14">
        <f t="shared" si="2"/>
        <v>2.7</v>
      </c>
      <c r="G147" s="13">
        <v>4</v>
      </c>
      <c r="H147" s="13">
        <v>2</v>
      </c>
      <c r="I147" s="13">
        <v>1</v>
      </c>
      <c r="J147" s="13">
        <v>4</v>
      </c>
      <c r="K147" s="15" t="s">
        <v>423</v>
      </c>
      <c r="L147" s="15" t="s">
        <v>1426</v>
      </c>
      <c r="M147" s="15" t="s">
        <v>1427</v>
      </c>
      <c r="N147" s="15" t="s">
        <v>1428</v>
      </c>
      <c r="O147" s="15" t="s">
        <v>375</v>
      </c>
      <c r="P147" s="15" t="s">
        <v>376</v>
      </c>
      <c r="Q147" s="15" t="s">
        <v>193</v>
      </c>
      <c r="R147" s="15" t="s">
        <v>1429</v>
      </c>
      <c r="S147" s="15" t="s">
        <v>1430</v>
      </c>
      <c r="T147" s="15" t="s">
        <v>1283</v>
      </c>
      <c r="U147" s="15" t="s">
        <v>1431</v>
      </c>
      <c r="V147" s="15" t="s">
        <v>380</v>
      </c>
      <c r="W147" s="15" t="s">
        <v>381</v>
      </c>
      <c r="X147" s="15" t="s">
        <v>1431</v>
      </c>
      <c r="Y147" s="15" t="s">
        <v>382</v>
      </c>
      <c r="Z147" s="15" t="s">
        <v>1432</v>
      </c>
      <c r="AA147" s="15" t="s">
        <v>1433</v>
      </c>
    </row>
    <row r="148" spans="1:27">
      <c r="A148" s="8">
        <v>147</v>
      </c>
      <c r="B148" s="9">
        <v>103</v>
      </c>
      <c r="C148" s="9">
        <v>147</v>
      </c>
      <c r="D148" s="9">
        <v>151</v>
      </c>
      <c r="E148" s="9">
        <v>139</v>
      </c>
      <c r="F148" s="10">
        <f t="shared" si="2"/>
        <v>2.7</v>
      </c>
      <c r="G148" s="9">
        <v>4</v>
      </c>
      <c r="H148" s="9">
        <v>2</v>
      </c>
      <c r="I148" s="9">
        <v>1</v>
      </c>
      <c r="J148" s="9">
        <v>4</v>
      </c>
      <c r="K148" s="11" t="s">
        <v>929</v>
      </c>
      <c r="L148" s="11" t="s">
        <v>1434</v>
      </c>
      <c r="M148" s="11" t="s">
        <v>1435</v>
      </c>
      <c r="N148" s="11" t="s">
        <v>1436</v>
      </c>
      <c r="O148" s="11" t="s">
        <v>375</v>
      </c>
      <c r="P148" s="11" t="s">
        <v>376</v>
      </c>
      <c r="Q148" s="11" t="s">
        <v>193</v>
      </c>
      <c r="R148" s="11" t="s">
        <v>1437</v>
      </c>
      <c r="S148" s="11" t="s">
        <v>1438</v>
      </c>
      <c r="T148" s="11" t="s">
        <v>1283</v>
      </c>
      <c r="U148" s="11" t="s">
        <v>1439</v>
      </c>
      <c r="V148" s="11" t="s">
        <v>380</v>
      </c>
      <c r="W148" s="11" t="s">
        <v>381</v>
      </c>
      <c r="X148" s="11" t="s">
        <v>1439</v>
      </c>
      <c r="Y148" s="11" t="s">
        <v>382</v>
      </c>
      <c r="Z148" s="11" t="s">
        <v>1440</v>
      </c>
      <c r="AA148" s="11" t="s">
        <v>1441</v>
      </c>
    </row>
    <row r="149" spans="1:27">
      <c r="A149" s="12">
        <v>148</v>
      </c>
      <c r="B149" s="13">
        <v>146</v>
      </c>
      <c r="C149" s="13">
        <v>148</v>
      </c>
      <c r="D149" s="13">
        <v>131</v>
      </c>
      <c r="E149" s="13">
        <v>140</v>
      </c>
      <c r="F149" s="14">
        <f t="shared" si="2"/>
        <v>2.5499999999999998</v>
      </c>
      <c r="G149" s="13">
        <v>3</v>
      </c>
      <c r="H149" s="13">
        <v>2</v>
      </c>
      <c r="I149" s="13">
        <v>2</v>
      </c>
      <c r="J149" s="13">
        <v>4</v>
      </c>
      <c r="K149" s="15" t="s">
        <v>929</v>
      </c>
      <c r="L149" s="15" t="s">
        <v>1442</v>
      </c>
      <c r="M149" s="15" t="s">
        <v>1201</v>
      </c>
      <c r="N149" s="15" t="s">
        <v>1443</v>
      </c>
      <c r="O149" s="15" t="s">
        <v>375</v>
      </c>
      <c r="P149" s="15" t="s">
        <v>376</v>
      </c>
      <c r="Q149" s="15" t="s">
        <v>193</v>
      </c>
      <c r="R149" s="15" t="s">
        <v>1444</v>
      </c>
      <c r="S149" s="15" t="s">
        <v>1445</v>
      </c>
      <c r="T149" s="15" t="s">
        <v>1283</v>
      </c>
      <c r="U149" s="15" t="s">
        <v>1446</v>
      </c>
      <c r="V149" s="15" t="s">
        <v>380</v>
      </c>
      <c r="W149" s="15" t="s">
        <v>381</v>
      </c>
      <c r="X149" s="15" t="s">
        <v>1446</v>
      </c>
      <c r="Y149" s="15" t="s">
        <v>382</v>
      </c>
      <c r="Z149" s="15" t="s">
        <v>1447</v>
      </c>
      <c r="AA149" s="15" t="s">
        <v>246</v>
      </c>
    </row>
    <row r="150" spans="1:27">
      <c r="A150" s="8">
        <v>149</v>
      </c>
      <c r="B150" s="9">
        <v>147</v>
      </c>
      <c r="C150" s="9">
        <v>149</v>
      </c>
      <c r="D150" s="9">
        <v>132</v>
      </c>
      <c r="E150" s="9">
        <v>152</v>
      </c>
      <c r="F150" s="10">
        <f t="shared" si="2"/>
        <v>2.4500000000000002</v>
      </c>
      <c r="G150" s="9">
        <v>3</v>
      </c>
      <c r="H150" s="9">
        <v>2</v>
      </c>
      <c r="I150" s="9">
        <v>2</v>
      </c>
      <c r="J150" s="9">
        <v>3</v>
      </c>
      <c r="K150" s="11" t="s">
        <v>372</v>
      </c>
      <c r="L150" s="11" t="s">
        <v>1448</v>
      </c>
      <c r="M150" s="11" t="s">
        <v>1449</v>
      </c>
      <c r="N150" s="11" t="s">
        <v>1450</v>
      </c>
      <c r="O150" s="11" t="s">
        <v>375</v>
      </c>
      <c r="P150" s="11" t="s">
        <v>376</v>
      </c>
      <c r="Q150" s="11" t="s">
        <v>193</v>
      </c>
      <c r="R150" s="11" t="s">
        <v>1451</v>
      </c>
      <c r="S150" s="11" t="s">
        <v>1452</v>
      </c>
      <c r="T150" s="11" t="s">
        <v>1283</v>
      </c>
      <c r="U150" s="11" t="s">
        <v>1453</v>
      </c>
      <c r="V150" s="11" t="s">
        <v>380</v>
      </c>
      <c r="W150" s="11" t="s">
        <v>381</v>
      </c>
      <c r="X150" s="11" t="s">
        <v>1453</v>
      </c>
      <c r="Y150" s="11" t="s">
        <v>382</v>
      </c>
      <c r="Z150" s="11" t="s">
        <v>1454</v>
      </c>
      <c r="AA150" s="11" t="s">
        <v>57</v>
      </c>
    </row>
    <row r="151" spans="1:27">
      <c r="A151" s="12">
        <v>150</v>
      </c>
      <c r="B151" s="13">
        <v>148</v>
      </c>
      <c r="C151" s="13">
        <v>150</v>
      </c>
      <c r="D151" s="13">
        <v>133</v>
      </c>
      <c r="E151" s="13">
        <v>153</v>
      </c>
      <c r="F151" s="14">
        <f t="shared" si="2"/>
        <v>2.4500000000000002</v>
      </c>
      <c r="G151" s="13">
        <v>3</v>
      </c>
      <c r="H151" s="13">
        <v>2</v>
      </c>
      <c r="I151" s="13">
        <v>2</v>
      </c>
      <c r="J151" s="13">
        <v>3</v>
      </c>
      <c r="K151" s="15" t="s">
        <v>372</v>
      </c>
      <c r="L151" s="15" t="s">
        <v>1455</v>
      </c>
      <c r="M151" s="15" t="s">
        <v>1456</v>
      </c>
      <c r="N151" s="15" t="s">
        <v>1457</v>
      </c>
      <c r="O151" s="15" t="s">
        <v>375</v>
      </c>
      <c r="P151" s="15" t="s">
        <v>376</v>
      </c>
      <c r="Q151" s="15" t="s">
        <v>193</v>
      </c>
      <c r="R151" s="15" t="s">
        <v>1458</v>
      </c>
      <c r="S151" s="15" t="s">
        <v>1459</v>
      </c>
      <c r="T151" s="15" t="s">
        <v>1283</v>
      </c>
      <c r="U151" s="15" t="s">
        <v>1460</v>
      </c>
      <c r="V151" s="15" t="s">
        <v>380</v>
      </c>
      <c r="W151" s="15" t="s">
        <v>381</v>
      </c>
      <c r="X151" s="15" t="s">
        <v>1460</v>
      </c>
      <c r="Y151" s="15" t="s">
        <v>382</v>
      </c>
      <c r="Z151" s="15" t="s">
        <v>1461</v>
      </c>
      <c r="AA151" s="15" t="s">
        <v>1049</v>
      </c>
    </row>
    <row r="152" spans="1:27">
      <c r="A152" s="8">
        <v>151</v>
      </c>
      <c r="B152" s="9">
        <v>149</v>
      </c>
      <c r="C152" s="9">
        <v>151</v>
      </c>
      <c r="D152" s="9">
        <v>152</v>
      </c>
      <c r="E152" s="9">
        <v>141</v>
      </c>
      <c r="F152" s="10">
        <f t="shared" si="2"/>
        <v>2.35</v>
      </c>
      <c r="G152" s="9">
        <v>3</v>
      </c>
      <c r="H152" s="9">
        <v>2</v>
      </c>
      <c r="I152" s="9">
        <v>1</v>
      </c>
      <c r="J152" s="9">
        <v>4</v>
      </c>
      <c r="K152" s="11" t="s">
        <v>423</v>
      </c>
      <c r="L152" s="11" t="s">
        <v>1462</v>
      </c>
      <c r="M152" s="11" t="s">
        <v>1096</v>
      </c>
      <c r="N152" s="11" t="s">
        <v>1463</v>
      </c>
      <c r="O152" s="11" t="s">
        <v>375</v>
      </c>
      <c r="P152" s="11" t="s">
        <v>376</v>
      </c>
      <c r="Q152" s="11" t="s">
        <v>193</v>
      </c>
      <c r="R152" s="11" t="s">
        <v>1464</v>
      </c>
      <c r="S152" s="11" t="s">
        <v>1465</v>
      </c>
      <c r="T152" s="11" t="s">
        <v>1283</v>
      </c>
      <c r="U152" s="11" t="s">
        <v>1466</v>
      </c>
      <c r="V152" s="11" t="s">
        <v>380</v>
      </c>
      <c r="W152" s="11" t="s">
        <v>381</v>
      </c>
      <c r="X152" s="11" t="s">
        <v>1466</v>
      </c>
      <c r="Y152" s="11" t="s">
        <v>382</v>
      </c>
      <c r="Z152" s="11" t="s">
        <v>1467</v>
      </c>
      <c r="AA152" s="11" t="s">
        <v>1468</v>
      </c>
    </row>
    <row r="153" spans="1:27">
      <c r="A153" s="12">
        <v>152</v>
      </c>
      <c r="B153" s="13">
        <v>150</v>
      </c>
      <c r="C153" s="13">
        <v>152</v>
      </c>
      <c r="D153" s="13">
        <v>153</v>
      </c>
      <c r="E153" s="13">
        <v>142</v>
      </c>
      <c r="F153" s="14">
        <f t="shared" si="2"/>
        <v>2.35</v>
      </c>
      <c r="G153" s="13">
        <v>3</v>
      </c>
      <c r="H153" s="13">
        <v>2</v>
      </c>
      <c r="I153" s="13">
        <v>1</v>
      </c>
      <c r="J153" s="13">
        <v>4</v>
      </c>
      <c r="K153" s="15" t="s">
        <v>929</v>
      </c>
      <c r="L153" s="15" t="s">
        <v>1469</v>
      </c>
      <c r="M153" s="15" t="s">
        <v>1470</v>
      </c>
      <c r="N153" s="15" t="s">
        <v>1471</v>
      </c>
      <c r="O153" s="15" t="s">
        <v>375</v>
      </c>
      <c r="P153" s="15" t="s">
        <v>376</v>
      </c>
      <c r="Q153" s="15" t="s">
        <v>193</v>
      </c>
      <c r="R153" s="15" t="s">
        <v>1472</v>
      </c>
      <c r="S153" s="15" t="s">
        <v>1473</v>
      </c>
      <c r="T153" s="15" t="s">
        <v>1283</v>
      </c>
      <c r="U153" s="15" t="s">
        <v>1474</v>
      </c>
      <c r="V153" s="15" t="s">
        <v>380</v>
      </c>
      <c r="W153" s="15" t="s">
        <v>381</v>
      </c>
      <c r="X153" s="15" t="s">
        <v>1474</v>
      </c>
      <c r="Y153" s="15" t="s">
        <v>382</v>
      </c>
      <c r="Z153" s="15" t="s">
        <v>1475</v>
      </c>
      <c r="AA153" s="15" t="s">
        <v>937</v>
      </c>
    </row>
    <row r="154" spans="1:27">
      <c r="A154" s="8">
        <v>153</v>
      </c>
      <c r="B154" s="9">
        <v>151</v>
      </c>
      <c r="C154" s="9">
        <v>153</v>
      </c>
      <c r="D154" s="9">
        <v>154</v>
      </c>
      <c r="E154" s="9">
        <v>143</v>
      </c>
      <c r="F154" s="10">
        <f t="shared" si="2"/>
        <v>2.35</v>
      </c>
      <c r="G154" s="9">
        <v>3</v>
      </c>
      <c r="H154" s="9">
        <v>2</v>
      </c>
      <c r="I154" s="9">
        <v>1</v>
      </c>
      <c r="J154" s="9">
        <v>4</v>
      </c>
      <c r="K154" s="11" t="s">
        <v>423</v>
      </c>
      <c r="L154" s="11" t="s">
        <v>1476</v>
      </c>
      <c r="M154" s="11" t="s">
        <v>1477</v>
      </c>
      <c r="N154" s="11" t="s">
        <v>1478</v>
      </c>
      <c r="O154" s="11" t="s">
        <v>375</v>
      </c>
      <c r="P154" s="11" t="s">
        <v>376</v>
      </c>
      <c r="Q154" s="11" t="s">
        <v>193</v>
      </c>
      <c r="R154" s="11" t="s">
        <v>1479</v>
      </c>
      <c r="S154" s="11" t="s">
        <v>1480</v>
      </c>
      <c r="T154" s="11" t="s">
        <v>1283</v>
      </c>
      <c r="U154" s="11" t="s">
        <v>1481</v>
      </c>
      <c r="V154" s="11" t="s">
        <v>380</v>
      </c>
      <c r="W154" s="11" t="s">
        <v>381</v>
      </c>
      <c r="X154" s="11" t="s">
        <v>1481</v>
      </c>
      <c r="Y154" s="11" t="s">
        <v>382</v>
      </c>
      <c r="Z154" s="11" t="s">
        <v>1482</v>
      </c>
      <c r="AA154" s="11" t="s">
        <v>1483</v>
      </c>
    </row>
    <row r="155" spans="1:27">
      <c r="A155" s="12">
        <v>154</v>
      </c>
      <c r="B155" s="13">
        <v>155</v>
      </c>
      <c r="C155" s="13">
        <v>154</v>
      </c>
      <c r="D155" s="13">
        <v>101</v>
      </c>
      <c r="E155" s="13">
        <v>154</v>
      </c>
      <c r="F155" s="14">
        <f t="shared" si="2"/>
        <v>2.2999999999999998</v>
      </c>
      <c r="G155" s="13">
        <v>2</v>
      </c>
      <c r="H155" s="13">
        <v>2</v>
      </c>
      <c r="I155" s="13">
        <v>3</v>
      </c>
      <c r="J155" s="13">
        <v>3</v>
      </c>
      <c r="K155" s="15" t="s">
        <v>929</v>
      </c>
      <c r="L155" s="15" t="s">
        <v>1484</v>
      </c>
      <c r="M155" s="15" t="s">
        <v>1485</v>
      </c>
      <c r="N155" s="15" t="s">
        <v>1486</v>
      </c>
      <c r="O155" s="15" t="s">
        <v>375</v>
      </c>
      <c r="P155" s="15" t="s">
        <v>376</v>
      </c>
      <c r="Q155" s="15" t="s">
        <v>193</v>
      </c>
      <c r="R155" s="15" t="s">
        <v>1487</v>
      </c>
      <c r="S155" s="15" t="s">
        <v>1488</v>
      </c>
      <c r="T155" s="15" t="s">
        <v>1283</v>
      </c>
      <c r="U155" s="15" t="s">
        <v>1489</v>
      </c>
      <c r="V155" s="15" t="s">
        <v>380</v>
      </c>
      <c r="W155" s="15" t="s">
        <v>381</v>
      </c>
      <c r="X155" s="15" t="s">
        <v>1489</v>
      </c>
      <c r="Y155" s="15" t="s">
        <v>382</v>
      </c>
      <c r="Z155" s="15" t="s">
        <v>1490</v>
      </c>
      <c r="AA155" s="15" t="s">
        <v>1491</v>
      </c>
    </row>
    <row r="156" spans="1:27">
      <c r="A156" s="8">
        <v>155</v>
      </c>
      <c r="B156" s="9">
        <v>152</v>
      </c>
      <c r="C156" s="9">
        <v>155</v>
      </c>
      <c r="D156" s="9">
        <v>155</v>
      </c>
      <c r="E156" s="9">
        <v>155</v>
      </c>
      <c r="F156" s="10">
        <f t="shared" si="2"/>
        <v>2.25</v>
      </c>
      <c r="G156" s="9">
        <v>3</v>
      </c>
      <c r="H156" s="9">
        <v>2</v>
      </c>
      <c r="I156" s="9">
        <v>1</v>
      </c>
      <c r="J156" s="9">
        <v>3</v>
      </c>
      <c r="K156" s="11" t="s">
        <v>929</v>
      </c>
      <c r="L156" s="11" t="s">
        <v>1492</v>
      </c>
      <c r="M156" s="11" t="s">
        <v>1493</v>
      </c>
      <c r="N156" s="11" t="s">
        <v>1494</v>
      </c>
      <c r="O156" s="11" t="s">
        <v>375</v>
      </c>
      <c r="P156" s="11" t="s">
        <v>376</v>
      </c>
      <c r="Q156" s="11" t="s">
        <v>193</v>
      </c>
      <c r="R156" s="11" t="s">
        <v>1495</v>
      </c>
      <c r="S156" s="11" t="s">
        <v>1496</v>
      </c>
      <c r="T156" s="11" t="s">
        <v>1283</v>
      </c>
      <c r="U156" s="11" t="s">
        <v>1497</v>
      </c>
      <c r="V156" s="11" t="s">
        <v>380</v>
      </c>
      <c r="W156" s="11" t="s">
        <v>381</v>
      </c>
      <c r="X156" s="11" t="s">
        <v>1497</v>
      </c>
      <c r="Y156" s="11" t="s">
        <v>382</v>
      </c>
      <c r="Z156" s="11" t="s">
        <v>1498</v>
      </c>
      <c r="AA156" s="11" t="s">
        <v>1499</v>
      </c>
    </row>
  </sheetData>
  <conditionalFormatting sqref="A2:A156">
    <cfRule type="colorScale" priority="1">
      <colorScale>
        <cfvo type="min"/>
        <cfvo type="percentile" val="50"/>
        <cfvo type="max"/>
        <color rgb="FFDCFCE7"/>
        <color rgb="FFFEF3C7"/>
        <color rgb="FFFEE2E2"/>
      </colorScale>
    </cfRule>
  </conditionalFormatting>
  <conditionalFormatting sqref="B2:B156">
    <cfRule type="colorScale" priority="2">
      <colorScale>
        <cfvo type="min"/>
        <cfvo type="percentile" val="50"/>
        <cfvo type="max"/>
        <color rgb="FFDCFCE7"/>
        <color rgb="FFFEF3C7"/>
        <color rgb="FFFEE2E2"/>
      </colorScale>
    </cfRule>
  </conditionalFormatting>
  <conditionalFormatting sqref="C2:C156">
    <cfRule type="colorScale" priority="3">
      <colorScale>
        <cfvo type="min"/>
        <cfvo type="percentile" val="50"/>
        <cfvo type="max"/>
        <color rgb="FFDCFCE7"/>
        <color rgb="FFFEF3C7"/>
        <color rgb="FFFEE2E2"/>
      </colorScale>
    </cfRule>
  </conditionalFormatting>
  <conditionalFormatting sqref="D2:D156">
    <cfRule type="colorScale" priority="4">
      <colorScale>
        <cfvo type="min"/>
        <cfvo type="percentile" val="50"/>
        <cfvo type="max"/>
        <color rgb="FFDCFCE7"/>
        <color rgb="FFFEF3C7"/>
        <color rgb="FFFEE2E2"/>
      </colorScale>
    </cfRule>
  </conditionalFormatting>
  <conditionalFormatting sqref="E2:E156">
    <cfRule type="colorScale" priority="5">
      <colorScale>
        <cfvo type="min"/>
        <cfvo type="percentile" val="50"/>
        <cfvo type="max"/>
        <color rgb="FFDCFCE7"/>
        <color rgb="FFFEF3C7"/>
        <color rgb="FFFEE2E2"/>
      </colorScale>
    </cfRule>
  </conditionalFormatting>
  <conditionalFormatting sqref="F2:F156">
    <cfRule type="colorScale" priority="6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G2:G156">
    <cfRule type="colorScale" priority="7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H2:H156">
    <cfRule type="colorScale" priority="8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I2:I156">
    <cfRule type="colorScale" priority="9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J2:J156">
    <cfRule type="colorScale" priority="10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K2:K156">
    <cfRule type="expression" dxfId="2" priority="11">
      <formula>K2="brasileira"</formula>
    </cfRule>
    <cfRule type="expression" dxfId="1" priority="12">
      <formula>K2="internacional"</formula>
    </cfRule>
    <cfRule type="expression" dxfId="0" priority="13">
      <formula>K2="dados sintéticos"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5"/>
  <sheetViews>
    <sheetView workbookViewId="0">
      <selection activeCell="K33" sqref="K33"/>
    </sheetView>
  </sheetViews>
  <sheetFormatPr defaultRowHeight="13.8"/>
  <cols>
    <col min="1" max="5" width="17" customWidth="1"/>
    <col min="6" max="6" width="16" customWidth="1"/>
    <col min="7" max="10" width="18" customWidth="1"/>
    <col min="11" max="11" width="58" customWidth="1"/>
    <col min="12" max="12" width="36" customWidth="1"/>
    <col min="13" max="13" width="32" customWidth="1"/>
    <col min="14" max="14" width="35" customWidth="1"/>
    <col min="15" max="15" width="40" customWidth="1"/>
    <col min="16" max="16" width="42" customWidth="1"/>
    <col min="17" max="17" width="44" customWidth="1"/>
    <col min="18" max="18" width="54" customWidth="1"/>
    <col min="19" max="19" width="24" customWidth="1"/>
    <col min="20" max="20" width="62" customWidth="1"/>
    <col min="21" max="21" width="52" customWidth="1"/>
    <col min="22" max="22" width="48" customWidth="1"/>
    <col min="23" max="23" width="62" customWidth="1"/>
    <col min="24" max="24" width="58" customWidth="1"/>
    <col min="25" max="26" width="54" customWidth="1"/>
  </cols>
  <sheetData>
    <row r="1" spans="1:26" ht="27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33.6" customHeight="1">
      <c r="A2" s="4">
        <v>1</v>
      </c>
      <c r="B2" s="4">
        <v>1</v>
      </c>
      <c r="C2" s="4">
        <v>1</v>
      </c>
      <c r="D2" s="4">
        <v>1</v>
      </c>
      <c r="E2" s="4">
        <v>9</v>
      </c>
      <c r="F2" s="5">
        <f t="shared" ref="F2:F35" si="0">ROUND(0.35*G2+0.35*H2+0.2*I2+0.1*J2,2)</f>
        <v>4.9000000000000004</v>
      </c>
      <c r="G2" s="4">
        <v>5</v>
      </c>
      <c r="H2" s="4">
        <v>5</v>
      </c>
      <c r="I2" s="4">
        <v>5</v>
      </c>
      <c r="J2" s="4">
        <v>4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  <c r="S2" s="3" t="s">
        <v>35</v>
      </c>
      <c r="T2" s="3" t="s">
        <v>36</v>
      </c>
      <c r="U2" s="3" t="s">
        <v>37</v>
      </c>
      <c r="V2" s="3" t="s">
        <v>38</v>
      </c>
      <c r="W2" s="3" t="s">
        <v>36</v>
      </c>
      <c r="X2" s="3" t="s">
        <v>39</v>
      </c>
      <c r="Y2" s="3" t="s">
        <v>40</v>
      </c>
      <c r="Z2" s="3" t="s">
        <v>41</v>
      </c>
    </row>
    <row r="3" spans="1:26" ht="33.6" customHeight="1">
      <c r="A3" s="4">
        <v>2</v>
      </c>
      <c r="B3" s="4">
        <v>2</v>
      </c>
      <c r="C3" s="4">
        <v>2</v>
      </c>
      <c r="D3" s="4">
        <v>2</v>
      </c>
      <c r="E3" s="4">
        <v>10</v>
      </c>
      <c r="F3" s="5">
        <f t="shared" si="0"/>
        <v>4.9000000000000004</v>
      </c>
      <c r="G3" s="4">
        <v>5</v>
      </c>
      <c r="H3" s="4">
        <v>5</v>
      </c>
      <c r="I3" s="4">
        <v>5</v>
      </c>
      <c r="J3" s="4">
        <v>4</v>
      </c>
      <c r="K3" s="3" t="s">
        <v>42</v>
      </c>
      <c r="L3" s="3" t="s">
        <v>28</v>
      </c>
      <c r="M3" s="3" t="s">
        <v>43</v>
      </c>
      <c r="N3" s="3" t="s">
        <v>30</v>
      </c>
      <c r="O3" s="3" t="s">
        <v>31</v>
      </c>
      <c r="P3" s="3" t="s">
        <v>32</v>
      </c>
      <c r="Q3" s="3" t="s">
        <v>33</v>
      </c>
      <c r="R3" s="3" t="s">
        <v>44</v>
      </c>
      <c r="S3" s="3" t="s">
        <v>35</v>
      </c>
      <c r="T3" s="3" t="s">
        <v>45</v>
      </c>
      <c r="U3" s="3" t="s">
        <v>37</v>
      </c>
      <c r="V3" s="3" t="s">
        <v>38</v>
      </c>
      <c r="W3" s="3" t="s">
        <v>45</v>
      </c>
      <c r="X3" s="3" t="s">
        <v>46</v>
      </c>
      <c r="Y3" s="3" t="s">
        <v>47</v>
      </c>
      <c r="Z3" s="3" t="s">
        <v>48</v>
      </c>
    </row>
    <row r="4" spans="1:26" ht="33.6" customHeight="1">
      <c r="A4" s="4">
        <v>3</v>
      </c>
      <c r="B4" s="4">
        <v>3</v>
      </c>
      <c r="C4" s="4">
        <v>3</v>
      </c>
      <c r="D4" s="4">
        <v>14</v>
      </c>
      <c r="E4" s="4">
        <v>1</v>
      </c>
      <c r="F4" s="5">
        <f t="shared" si="0"/>
        <v>4.8</v>
      </c>
      <c r="G4" s="4">
        <v>5</v>
      </c>
      <c r="H4" s="4">
        <v>5</v>
      </c>
      <c r="I4" s="4">
        <v>4</v>
      </c>
      <c r="J4" s="4">
        <v>5</v>
      </c>
      <c r="K4" s="3" t="s">
        <v>49</v>
      </c>
      <c r="L4" s="3" t="s">
        <v>50</v>
      </c>
      <c r="M4" s="3" t="s">
        <v>51</v>
      </c>
      <c r="N4" s="3" t="s">
        <v>30</v>
      </c>
      <c r="O4" s="3" t="s">
        <v>31</v>
      </c>
      <c r="P4" s="3" t="s">
        <v>32</v>
      </c>
      <c r="Q4" s="3" t="s">
        <v>52</v>
      </c>
      <c r="R4" s="3" t="s">
        <v>53</v>
      </c>
      <c r="S4" s="3" t="s">
        <v>35</v>
      </c>
      <c r="T4" s="3" t="s">
        <v>54</v>
      </c>
      <c r="U4" s="3" t="s">
        <v>37</v>
      </c>
      <c r="V4" s="3" t="s">
        <v>38</v>
      </c>
      <c r="W4" s="3" t="s">
        <v>54</v>
      </c>
      <c r="X4" s="3" t="s">
        <v>55</v>
      </c>
      <c r="Y4" s="3" t="s">
        <v>56</v>
      </c>
      <c r="Z4" s="3" t="s">
        <v>57</v>
      </c>
    </row>
    <row r="5" spans="1:26" ht="33.6" customHeight="1">
      <c r="A5" s="4">
        <v>4</v>
      </c>
      <c r="B5" s="4">
        <v>4</v>
      </c>
      <c r="C5" s="4">
        <v>4</v>
      </c>
      <c r="D5" s="4">
        <v>15</v>
      </c>
      <c r="E5" s="4">
        <v>11</v>
      </c>
      <c r="F5" s="5">
        <f t="shared" si="0"/>
        <v>4.7</v>
      </c>
      <c r="G5" s="4">
        <v>5</v>
      </c>
      <c r="H5" s="4">
        <v>5</v>
      </c>
      <c r="I5" s="4">
        <v>4</v>
      </c>
      <c r="J5" s="4">
        <v>4</v>
      </c>
      <c r="K5" s="3" t="s">
        <v>58</v>
      </c>
      <c r="L5" s="3" t="s">
        <v>50</v>
      </c>
      <c r="M5" s="3" t="s">
        <v>59</v>
      </c>
      <c r="N5" s="3" t="s">
        <v>30</v>
      </c>
      <c r="O5" s="3" t="s">
        <v>31</v>
      </c>
      <c r="P5" s="3" t="s">
        <v>32</v>
      </c>
      <c r="Q5" s="3" t="s">
        <v>60</v>
      </c>
      <c r="R5" s="3" t="s">
        <v>61</v>
      </c>
      <c r="S5" s="3" t="s">
        <v>35</v>
      </c>
      <c r="T5" s="3" t="s">
        <v>62</v>
      </c>
      <c r="U5" s="3" t="s">
        <v>37</v>
      </c>
      <c r="V5" s="3" t="s">
        <v>38</v>
      </c>
      <c r="W5" s="3" t="s">
        <v>62</v>
      </c>
      <c r="X5" s="3" t="s">
        <v>63</v>
      </c>
      <c r="Y5" s="3" t="s">
        <v>64</v>
      </c>
      <c r="Z5" s="3" t="s">
        <v>65</v>
      </c>
    </row>
    <row r="6" spans="1:26" ht="33.6" customHeight="1">
      <c r="A6" s="4">
        <v>5</v>
      </c>
      <c r="B6" s="4">
        <v>13</v>
      </c>
      <c r="C6" s="4">
        <v>5</v>
      </c>
      <c r="D6" s="4">
        <v>3</v>
      </c>
      <c r="E6" s="4">
        <v>12</v>
      </c>
      <c r="F6" s="5">
        <f t="shared" si="0"/>
        <v>4.55</v>
      </c>
      <c r="G6" s="4">
        <v>4</v>
      </c>
      <c r="H6" s="4">
        <v>5</v>
      </c>
      <c r="I6" s="4">
        <v>5</v>
      </c>
      <c r="J6" s="4">
        <v>4</v>
      </c>
      <c r="K6" s="3" t="s">
        <v>66</v>
      </c>
      <c r="L6" s="3" t="s">
        <v>28</v>
      </c>
      <c r="M6" s="3" t="s">
        <v>67</v>
      </c>
      <c r="N6" s="3" t="s">
        <v>30</v>
      </c>
      <c r="O6" s="3" t="s">
        <v>31</v>
      </c>
      <c r="P6" s="3" t="s">
        <v>32</v>
      </c>
      <c r="Q6" s="3" t="s">
        <v>33</v>
      </c>
      <c r="R6" s="3" t="s">
        <v>68</v>
      </c>
      <c r="S6" s="3" t="s">
        <v>35</v>
      </c>
      <c r="T6" s="3" t="s">
        <v>69</v>
      </c>
      <c r="U6" s="3" t="s">
        <v>37</v>
      </c>
      <c r="V6" s="3" t="s">
        <v>38</v>
      </c>
      <c r="W6" s="3" t="s">
        <v>69</v>
      </c>
      <c r="X6" s="3" t="s">
        <v>70</v>
      </c>
      <c r="Y6" s="3" t="s">
        <v>40</v>
      </c>
      <c r="Z6" s="3" t="s">
        <v>41</v>
      </c>
    </row>
    <row r="7" spans="1:26" ht="33.6" customHeight="1">
      <c r="A7" s="4">
        <v>6</v>
      </c>
      <c r="B7" s="4">
        <v>14</v>
      </c>
      <c r="C7" s="4">
        <v>6</v>
      </c>
      <c r="D7" s="4">
        <v>4</v>
      </c>
      <c r="E7" s="4">
        <v>13</v>
      </c>
      <c r="F7" s="5">
        <f t="shared" si="0"/>
        <v>4.55</v>
      </c>
      <c r="G7" s="4">
        <v>4</v>
      </c>
      <c r="H7" s="4">
        <v>5</v>
      </c>
      <c r="I7" s="4">
        <v>5</v>
      </c>
      <c r="J7" s="4">
        <v>4</v>
      </c>
      <c r="K7" s="3" t="s">
        <v>71</v>
      </c>
      <c r="L7" s="3" t="s">
        <v>50</v>
      </c>
      <c r="M7" s="3" t="s">
        <v>72</v>
      </c>
      <c r="N7" s="3" t="s">
        <v>30</v>
      </c>
      <c r="O7" s="3" t="s">
        <v>31</v>
      </c>
      <c r="P7" s="3" t="s">
        <v>32</v>
      </c>
      <c r="Q7" s="3" t="s">
        <v>73</v>
      </c>
      <c r="R7" s="3" t="s">
        <v>74</v>
      </c>
      <c r="S7" s="3" t="s">
        <v>35</v>
      </c>
      <c r="T7" s="3" t="s">
        <v>75</v>
      </c>
      <c r="U7" s="3" t="s">
        <v>37</v>
      </c>
      <c r="V7" s="3" t="s">
        <v>38</v>
      </c>
      <c r="W7" s="3" t="s">
        <v>75</v>
      </c>
      <c r="X7" s="3" t="s">
        <v>76</v>
      </c>
      <c r="Y7" s="3" t="s">
        <v>77</v>
      </c>
      <c r="Z7" s="3" t="s">
        <v>41</v>
      </c>
    </row>
    <row r="8" spans="1:26" ht="33.6" customHeight="1">
      <c r="A8" s="4">
        <v>7</v>
      </c>
      <c r="B8" s="4">
        <v>15</v>
      </c>
      <c r="C8" s="4">
        <v>7</v>
      </c>
      <c r="D8" s="4">
        <v>5</v>
      </c>
      <c r="E8" s="4">
        <v>14</v>
      </c>
      <c r="F8" s="5">
        <f t="shared" si="0"/>
        <v>4.55</v>
      </c>
      <c r="G8" s="4">
        <v>4</v>
      </c>
      <c r="H8" s="4">
        <v>5</v>
      </c>
      <c r="I8" s="4">
        <v>5</v>
      </c>
      <c r="J8" s="4">
        <v>4</v>
      </c>
      <c r="K8" s="3" t="s">
        <v>78</v>
      </c>
      <c r="L8" s="3" t="s">
        <v>28</v>
      </c>
      <c r="M8" s="3" t="s">
        <v>79</v>
      </c>
      <c r="N8" s="3" t="s">
        <v>30</v>
      </c>
      <c r="O8" s="3" t="s">
        <v>31</v>
      </c>
      <c r="P8" s="3" t="s">
        <v>32</v>
      </c>
      <c r="Q8" s="3" t="s">
        <v>33</v>
      </c>
      <c r="R8" s="3" t="s">
        <v>80</v>
      </c>
      <c r="S8" s="3" t="s">
        <v>35</v>
      </c>
      <c r="T8" s="3" t="s">
        <v>81</v>
      </c>
      <c r="U8" s="3" t="s">
        <v>37</v>
      </c>
      <c r="V8" s="3" t="s">
        <v>38</v>
      </c>
      <c r="W8" s="3" t="s">
        <v>81</v>
      </c>
      <c r="X8" s="3" t="s">
        <v>82</v>
      </c>
      <c r="Y8" s="3" t="s">
        <v>47</v>
      </c>
      <c r="Z8" s="3" t="s">
        <v>48</v>
      </c>
    </row>
    <row r="9" spans="1:26" ht="33.6" customHeight="1">
      <c r="A9" s="4">
        <v>8</v>
      </c>
      <c r="B9" s="4">
        <v>5</v>
      </c>
      <c r="C9" s="4">
        <v>16</v>
      </c>
      <c r="D9" s="4">
        <v>16</v>
      </c>
      <c r="E9" s="4">
        <v>2</v>
      </c>
      <c r="F9" s="5">
        <f t="shared" si="0"/>
        <v>4.45</v>
      </c>
      <c r="G9" s="4">
        <v>5</v>
      </c>
      <c r="H9" s="4">
        <v>4</v>
      </c>
      <c r="I9" s="4">
        <v>4</v>
      </c>
      <c r="J9" s="4">
        <v>5</v>
      </c>
      <c r="K9" s="3" t="s">
        <v>83</v>
      </c>
      <c r="L9" s="3" t="s">
        <v>84</v>
      </c>
      <c r="M9" s="3" t="s">
        <v>85</v>
      </c>
      <c r="N9" s="3" t="s">
        <v>30</v>
      </c>
      <c r="O9" s="3" t="s">
        <v>31</v>
      </c>
      <c r="P9" s="3" t="s">
        <v>32</v>
      </c>
      <c r="Q9" s="3" t="s">
        <v>86</v>
      </c>
      <c r="R9" s="3" t="s">
        <v>87</v>
      </c>
      <c r="S9" s="3" t="s">
        <v>88</v>
      </c>
      <c r="T9" s="3" t="s">
        <v>89</v>
      </c>
      <c r="U9" s="3" t="s">
        <v>37</v>
      </c>
      <c r="V9" s="3" t="s">
        <v>38</v>
      </c>
      <c r="W9" s="3" t="s">
        <v>89</v>
      </c>
      <c r="X9" s="3" t="s">
        <v>90</v>
      </c>
      <c r="Y9" s="3" t="s">
        <v>91</v>
      </c>
      <c r="Z9" s="3" t="s">
        <v>92</v>
      </c>
    </row>
    <row r="10" spans="1:26" ht="33.6" customHeight="1">
      <c r="A10" s="4">
        <v>9</v>
      </c>
      <c r="B10" s="4">
        <v>6</v>
      </c>
      <c r="C10" s="4">
        <v>17</v>
      </c>
      <c r="D10" s="4">
        <v>17</v>
      </c>
      <c r="E10" s="4">
        <v>15</v>
      </c>
      <c r="F10" s="5">
        <f t="shared" si="0"/>
        <v>4.3499999999999996</v>
      </c>
      <c r="G10" s="4">
        <v>5</v>
      </c>
      <c r="H10" s="4">
        <v>4</v>
      </c>
      <c r="I10" s="4">
        <v>4</v>
      </c>
      <c r="J10" s="4">
        <v>4</v>
      </c>
      <c r="K10" s="3" t="s">
        <v>93</v>
      </c>
      <c r="L10" s="3" t="s">
        <v>84</v>
      </c>
      <c r="M10" s="3" t="s">
        <v>94</v>
      </c>
      <c r="N10" s="3" t="s">
        <v>30</v>
      </c>
      <c r="O10" s="3" t="s">
        <v>31</v>
      </c>
      <c r="P10" s="3" t="s">
        <v>32</v>
      </c>
      <c r="Q10" s="3" t="s">
        <v>95</v>
      </c>
      <c r="R10" s="3" t="s">
        <v>96</v>
      </c>
      <c r="S10" s="3" t="s">
        <v>88</v>
      </c>
      <c r="T10" s="3" t="s">
        <v>97</v>
      </c>
      <c r="U10" s="3" t="s">
        <v>37</v>
      </c>
      <c r="V10" s="3" t="s">
        <v>38</v>
      </c>
      <c r="W10" s="3" t="s">
        <v>97</v>
      </c>
      <c r="X10" s="3" t="s">
        <v>98</v>
      </c>
      <c r="Y10" s="3" t="s">
        <v>99</v>
      </c>
      <c r="Z10" s="3" t="s">
        <v>100</v>
      </c>
    </row>
    <row r="11" spans="1:26" ht="33.6" customHeight="1">
      <c r="A11" s="4">
        <v>10</v>
      </c>
      <c r="B11" s="4">
        <v>7</v>
      </c>
      <c r="C11" s="4">
        <v>18</v>
      </c>
      <c r="D11" s="4">
        <v>18</v>
      </c>
      <c r="E11" s="4">
        <v>16</v>
      </c>
      <c r="F11" s="5">
        <f t="shared" si="0"/>
        <v>4.3499999999999996</v>
      </c>
      <c r="G11" s="4">
        <v>5</v>
      </c>
      <c r="H11" s="4">
        <v>4</v>
      </c>
      <c r="I11" s="4">
        <v>4</v>
      </c>
      <c r="J11" s="4">
        <v>4</v>
      </c>
      <c r="K11" s="3" t="s">
        <v>101</v>
      </c>
      <c r="L11" s="3" t="s">
        <v>84</v>
      </c>
      <c r="M11" s="3" t="s">
        <v>102</v>
      </c>
      <c r="N11" s="3" t="s">
        <v>30</v>
      </c>
      <c r="O11" s="3" t="s">
        <v>31</v>
      </c>
      <c r="P11" s="3" t="s">
        <v>32</v>
      </c>
      <c r="Q11" s="3" t="s">
        <v>95</v>
      </c>
      <c r="R11" s="3" t="s">
        <v>103</v>
      </c>
      <c r="S11" s="3" t="s">
        <v>88</v>
      </c>
      <c r="T11" s="3" t="s">
        <v>104</v>
      </c>
      <c r="U11" s="3" t="s">
        <v>37</v>
      </c>
      <c r="V11" s="3" t="s">
        <v>38</v>
      </c>
      <c r="W11" s="3" t="s">
        <v>104</v>
      </c>
      <c r="X11" s="3" t="s">
        <v>105</v>
      </c>
      <c r="Y11" s="3" t="s">
        <v>106</v>
      </c>
      <c r="Z11" s="3" t="s">
        <v>107</v>
      </c>
    </row>
    <row r="12" spans="1:26" ht="33.6" customHeight="1">
      <c r="A12" s="4">
        <v>11</v>
      </c>
      <c r="B12" s="4">
        <v>8</v>
      </c>
      <c r="C12" s="4">
        <v>19</v>
      </c>
      <c r="D12" s="4">
        <v>19</v>
      </c>
      <c r="E12" s="4">
        <v>17</v>
      </c>
      <c r="F12" s="5">
        <f t="shared" si="0"/>
        <v>4.3499999999999996</v>
      </c>
      <c r="G12" s="4">
        <v>5</v>
      </c>
      <c r="H12" s="4">
        <v>4</v>
      </c>
      <c r="I12" s="4">
        <v>4</v>
      </c>
      <c r="J12" s="4">
        <v>4</v>
      </c>
      <c r="K12" s="3" t="s">
        <v>108</v>
      </c>
      <c r="L12" s="3" t="s">
        <v>28</v>
      </c>
      <c r="M12" s="3" t="s">
        <v>109</v>
      </c>
      <c r="N12" s="3" t="s">
        <v>30</v>
      </c>
      <c r="O12" s="3" t="s">
        <v>31</v>
      </c>
      <c r="P12" s="3" t="s">
        <v>32</v>
      </c>
      <c r="Q12" s="3" t="s">
        <v>33</v>
      </c>
      <c r="R12" s="3" t="s">
        <v>110</v>
      </c>
      <c r="S12" s="3" t="s">
        <v>88</v>
      </c>
      <c r="T12" s="3" t="s">
        <v>111</v>
      </c>
      <c r="U12" s="3" t="s">
        <v>37</v>
      </c>
      <c r="V12" s="3" t="s">
        <v>38</v>
      </c>
      <c r="W12" s="3" t="s">
        <v>111</v>
      </c>
      <c r="X12" s="3" t="s">
        <v>112</v>
      </c>
      <c r="Y12" s="3" t="s">
        <v>91</v>
      </c>
      <c r="Z12" s="3" t="s">
        <v>92</v>
      </c>
    </row>
    <row r="13" spans="1:26" ht="33.6" customHeight="1">
      <c r="A13" s="4">
        <v>12</v>
      </c>
      <c r="B13" s="4">
        <v>9</v>
      </c>
      <c r="C13" s="4">
        <v>20</v>
      </c>
      <c r="D13" s="4">
        <v>20</v>
      </c>
      <c r="E13" s="4">
        <v>18</v>
      </c>
      <c r="F13" s="5">
        <f t="shared" si="0"/>
        <v>4.3499999999999996</v>
      </c>
      <c r="G13" s="4">
        <v>5</v>
      </c>
      <c r="H13" s="4">
        <v>4</v>
      </c>
      <c r="I13" s="4">
        <v>4</v>
      </c>
      <c r="J13" s="4">
        <v>4</v>
      </c>
      <c r="K13" s="3" t="s">
        <v>113</v>
      </c>
      <c r="L13" s="3" t="s">
        <v>84</v>
      </c>
      <c r="M13" s="3" t="s">
        <v>114</v>
      </c>
      <c r="N13" s="3" t="s">
        <v>30</v>
      </c>
      <c r="O13" s="3" t="s">
        <v>31</v>
      </c>
      <c r="P13" s="3" t="s">
        <v>32</v>
      </c>
      <c r="Q13" s="3" t="s">
        <v>115</v>
      </c>
      <c r="R13" s="3" t="s">
        <v>116</v>
      </c>
      <c r="S13" s="3" t="s">
        <v>88</v>
      </c>
      <c r="T13" s="3" t="s">
        <v>117</v>
      </c>
      <c r="U13" s="3" t="s">
        <v>37</v>
      </c>
      <c r="V13" s="3" t="s">
        <v>38</v>
      </c>
      <c r="W13" s="3" t="s">
        <v>117</v>
      </c>
      <c r="X13" s="3" t="s">
        <v>118</v>
      </c>
      <c r="Y13" s="3" t="s">
        <v>119</v>
      </c>
      <c r="Z13" s="3" t="s">
        <v>120</v>
      </c>
    </row>
    <row r="14" spans="1:26" ht="33.6" customHeight="1">
      <c r="A14" s="4">
        <v>13</v>
      </c>
      <c r="B14" s="4">
        <v>10</v>
      </c>
      <c r="C14" s="4">
        <v>21</v>
      </c>
      <c r="D14" s="4">
        <v>21</v>
      </c>
      <c r="E14" s="4">
        <v>19</v>
      </c>
      <c r="F14" s="5">
        <f t="shared" si="0"/>
        <v>4.3499999999999996</v>
      </c>
      <c r="G14" s="4">
        <v>5</v>
      </c>
      <c r="H14" s="4">
        <v>4</v>
      </c>
      <c r="I14" s="4">
        <v>4</v>
      </c>
      <c r="J14" s="4">
        <v>4</v>
      </c>
      <c r="K14" s="3" t="s">
        <v>121</v>
      </c>
      <c r="L14" s="3" t="s">
        <v>84</v>
      </c>
      <c r="M14" s="3" t="s">
        <v>122</v>
      </c>
      <c r="N14" s="3" t="s">
        <v>30</v>
      </c>
      <c r="O14" s="3" t="s">
        <v>31</v>
      </c>
      <c r="P14" s="3" t="s">
        <v>32</v>
      </c>
      <c r="Q14" s="3" t="s">
        <v>123</v>
      </c>
      <c r="R14" s="3" t="s">
        <v>124</v>
      </c>
      <c r="S14" s="3" t="s">
        <v>88</v>
      </c>
      <c r="T14" s="3" t="s">
        <v>125</v>
      </c>
      <c r="U14" s="3" t="s">
        <v>37</v>
      </c>
      <c r="V14" s="3" t="s">
        <v>38</v>
      </c>
      <c r="W14" s="3" t="s">
        <v>125</v>
      </c>
      <c r="X14" s="3" t="s">
        <v>126</v>
      </c>
      <c r="Y14" s="3" t="s">
        <v>127</v>
      </c>
      <c r="Z14" s="3" t="s">
        <v>128</v>
      </c>
    </row>
    <row r="15" spans="1:26" ht="33.6" customHeight="1">
      <c r="A15" s="4">
        <v>14</v>
      </c>
      <c r="B15" s="4">
        <v>21</v>
      </c>
      <c r="C15" s="4">
        <v>8</v>
      </c>
      <c r="D15" s="4">
        <v>6</v>
      </c>
      <c r="E15" s="4">
        <v>3</v>
      </c>
      <c r="F15" s="5">
        <f t="shared" si="0"/>
        <v>4.3</v>
      </c>
      <c r="G15" s="4">
        <v>3</v>
      </c>
      <c r="H15" s="4">
        <v>5</v>
      </c>
      <c r="I15" s="4">
        <v>5</v>
      </c>
      <c r="J15" s="4">
        <v>5</v>
      </c>
      <c r="K15" s="3" t="s">
        <v>129</v>
      </c>
      <c r="L15" s="3" t="s">
        <v>130</v>
      </c>
      <c r="M15" s="3" t="s">
        <v>131</v>
      </c>
      <c r="N15" s="3" t="s">
        <v>30</v>
      </c>
      <c r="O15" s="3" t="s">
        <v>31</v>
      </c>
      <c r="P15" s="3" t="s">
        <v>32</v>
      </c>
      <c r="Q15" s="3" t="s">
        <v>132</v>
      </c>
      <c r="R15" s="3" t="s">
        <v>133</v>
      </c>
      <c r="S15" s="3" t="s">
        <v>35</v>
      </c>
      <c r="T15" s="3" t="s">
        <v>134</v>
      </c>
      <c r="U15" s="3" t="s">
        <v>37</v>
      </c>
      <c r="V15" s="3" t="s">
        <v>38</v>
      </c>
      <c r="W15" s="3" t="s">
        <v>134</v>
      </c>
      <c r="X15" s="3" t="s">
        <v>135</v>
      </c>
      <c r="Y15" s="3" t="s">
        <v>136</v>
      </c>
      <c r="Z15" s="3" t="s">
        <v>48</v>
      </c>
    </row>
    <row r="16" spans="1:26" ht="33.6" customHeight="1">
      <c r="A16" s="4">
        <v>15</v>
      </c>
      <c r="B16" s="4">
        <v>22</v>
      </c>
      <c r="C16" s="4">
        <v>9</v>
      </c>
      <c r="D16" s="4">
        <v>7</v>
      </c>
      <c r="E16" s="4">
        <v>20</v>
      </c>
      <c r="F16" s="5">
        <f t="shared" si="0"/>
        <v>4.2</v>
      </c>
      <c r="G16" s="4">
        <v>3</v>
      </c>
      <c r="H16" s="4">
        <v>5</v>
      </c>
      <c r="I16" s="4">
        <v>5</v>
      </c>
      <c r="J16" s="4">
        <v>4</v>
      </c>
      <c r="K16" s="3" t="s">
        <v>137</v>
      </c>
      <c r="L16" s="3" t="s">
        <v>28</v>
      </c>
      <c r="M16" s="3" t="s">
        <v>138</v>
      </c>
      <c r="N16" s="3" t="s">
        <v>30</v>
      </c>
      <c r="O16" s="3" t="s">
        <v>31</v>
      </c>
      <c r="P16" s="3" t="s">
        <v>32</v>
      </c>
      <c r="Q16" s="3" t="s">
        <v>33</v>
      </c>
      <c r="R16" s="3" t="s">
        <v>139</v>
      </c>
      <c r="S16" s="3" t="s">
        <v>35</v>
      </c>
      <c r="T16" s="3" t="s">
        <v>140</v>
      </c>
      <c r="U16" s="3" t="s">
        <v>37</v>
      </c>
      <c r="V16" s="3" t="s">
        <v>38</v>
      </c>
      <c r="W16" s="3" t="s">
        <v>140</v>
      </c>
      <c r="X16" s="3" t="s">
        <v>141</v>
      </c>
      <c r="Y16" s="3" t="s">
        <v>40</v>
      </c>
      <c r="Z16" s="3" t="s">
        <v>41</v>
      </c>
    </row>
    <row r="17" spans="1:26" ht="33.6" customHeight="1">
      <c r="A17" s="4">
        <v>16</v>
      </c>
      <c r="B17" s="4">
        <v>23</v>
      </c>
      <c r="C17" s="4">
        <v>10</v>
      </c>
      <c r="D17" s="4">
        <v>8</v>
      </c>
      <c r="E17" s="4">
        <v>21</v>
      </c>
      <c r="F17" s="5">
        <f t="shared" si="0"/>
        <v>4.2</v>
      </c>
      <c r="G17" s="4">
        <v>3</v>
      </c>
      <c r="H17" s="4">
        <v>5</v>
      </c>
      <c r="I17" s="4">
        <v>5</v>
      </c>
      <c r="J17" s="4">
        <v>4</v>
      </c>
      <c r="K17" s="3" t="s">
        <v>142</v>
      </c>
      <c r="L17" s="3" t="s">
        <v>130</v>
      </c>
      <c r="M17" s="3" t="s">
        <v>143</v>
      </c>
      <c r="N17" s="3" t="s">
        <v>30</v>
      </c>
      <c r="O17" s="3" t="s">
        <v>31</v>
      </c>
      <c r="P17" s="3" t="s">
        <v>32</v>
      </c>
      <c r="Q17" s="3" t="s">
        <v>144</v>
      </c>
      <c r="R17" s="3" t="s">
        <v>145</v>
      </c>
      <c r="S17" s="3" t="s">
        <v>35</v>
      </c>
      <c r="T17" s="3" t="s">
        <v>146</v>
      </c>
      <c r="U17" s="3" t="s">
        <v>37</v>
      </c>
      <c r="V17" s="3" t="s">
        <v>38</v>
      </c>
      <c r="W17" s="3" t="s">
        <v>146</v>
      </c>
      <c r="X17" s="3" t="s">
        <v>147</v>
      </c>
      <c r="Y17" s="3" t="s">
        <v>148</v>
      </c>
      <c r="Z17" s="3" t="s">
        <v>149</v>
      </c>
    </row>
    <row r="18" spans="1:26" ht="33.6" customHeight="1">
      <c r="A18" s="4">
        <v>17</v>
      </c>
      <c r="B18" s="4">
        <v>24</v>
      </c>
      <c r="C18" s="4">
        <v>11</v>
      </c>
      <c r="D18" s="4">
        <v>9</v>
      </c>
      <c r="E18" s="4">
        <v>22</v>
      </c>
      <c r="F18" s="5">
        <f t="shared" si="0"/>
        <v>4.2</v>
      </c>
      <c r="G18" s="4">
        <v>3</v>
      </c>
      <c r="H18" s="4">
        <v>5</v>
      </c>
      <c r="I18" s="4">
        <v>5</v>
      </c>
      <c r="J18" s="4">
        <v>4</v>
      </c>
      <c r="K18" s="3" t="s">
        <v>150</v>
      </c>
      <c r="L18" s="3" t="s">
        <v>28</v>
      </c>
      <c r="M18" s="3" t="s">
        <v>151</v>
      </c>
      <c r="N18" s="3" t="s">
        <v>30</v>
      </c>
      <c r="O18" s="3" t="s">
        <v>31</v>
      </c>
      <c r="P18" s="3" t="s">
        <v>32</v>
      </c>
      <c r="Q18" s="3" t="s">
        <v>33</v>
      </c>
      <c r="R18" s="3" t="s">
        <v>152</v>
      </c>
      <c r="S18" s="3" t="s">
        <v>35</v>
      </c>
      <c r="T18" s="3" t="s">
        <v>153</v>
      </c>
      <c r="U18" s="3" t="s">
        <v>37</v>
      </c>
      <c r="V18" s="3" t="s">
        <v>38</v>
      </c>
      <c r="W18" s="3" t="s">
        <v>153</v>
      </c>
      <c r="X18" s="3" t="s">
        <v>154</v>
      </c>
      <c r="Y18" s="3" t="s">
        <v>40</v>
      </c>
      <c r="Z18" s="3" t="s">
        <v>41</v>
      </c>
    </row>
    <row r="19" spans="1:26" ht="33.6" customHeight="1">
      <c r="A19" s="4">
        <v>18</v>
      </c>
      <c r="B19" s="4">
        <v>25</v>
      </c>
      <c r="C19" s="4">
        <v>12</v>
      </c>
      <c r="D19" s="4">
        <v>10</v>
      </c>
      <c r="E19" s="4">
        <v>23</v>
      </c>
      <c r="F19" s="5">
        <f t="shared" si="0"/>
        <v>4.2</v>
      </c>
      <c r="G19" s="4">
        <v>3</v>
      </c>
      <c r="H19" s="4">
        <v>5</v>
      </c>
      <c r="I19" s="4">
        <v>5</v>
      </c>
      <c r="J19" s="4">
        <v>4</v>
      </c>
      <c r="K19" s="3" t="s">
        <v>155</v>
      </c>
      <c r="L19" s="3" t="s">
        <v>50</v>
      </c>
      <c r="M19" s="3" t="s">
        <v>156</v>
      </c>
      <c r="N19" s="3" t="s">
        <v>30</v>
      </c>
      <c r="O19" s="3" t="s">
        <v>31</v>
      </c>
      <c r="P19" s="3" t="s">
        <v>32</v>
      </c>
      <c r="Q19" s="3" t="s">
        <v>157</v>
      </c>
      <c r="R19" s="3" t="s">
        <v>158</v>
      </c>
      <c r="S19" s="3" t="s">
        <v>35</v>
      </c>
      <c r="T19" s="3" t="s">
        <v>159</v>
      </c>
      <c r="U19" s="3" t="s">
        <v>37</v>
      </c>
      <c r="V19" s="3" t="s">
        <v>38</v>
      </c>
      <c r="W19" s="3" t="s">
        <v>159</v>
      </c>
      <c r="X19" s="3" t="s">
        <v>160</v>
      </c>
      <c r="Y19" s="3" t="s">
        <v>161</v>
      </c>
      <c r="Z19" s="3" t="s">
        <v>41</v>
      </c>
    </row>
    <row r="20" spans="1:26" ht="33.6" customHeight="1">
      <c r="A20" s="4">
        <v>19</v>
      </c>
      <c r="B20" s="4">
        <v>26</v>
      </c>
      <c r="C20" s="4">
        <v>13</v>
      </c>
      <c r="D20" s="4">
        <v>11</v>
      </c>
      <c r="E20" s="4">
        <v>24</v>
      </c>
      <c r="F20" s="5">
        <f t="shared" si="0"/>
        <v>4.2</v>
      </c>
      <c r="G20" s="4">
        <v>3</v>
      </c>
      <c r="H20" s="4">
        <v>5</v>
      </c>
      <c r="I20" s="4">
        <v>5</v>
      </c>
      <c r="J20" s="4">
        <v>4</v>
      </c>
      <c r="K20" s="3" t="s">
        <v>162</v>
      </c>
      <c r="L20" s="3" t="s">
        <v>50</v>
      </c>
      <c r="M20" s="3" t="s">
        <v>163</v>
      </c>
      <c r="N20" s="3" t="s">
        <v>30</v>
      </c>
      <c r="O20" s="3" t="s">
        <v>31</v>
      </c>
      <c r="P20" s="3" t="s">
        <v>32</v>
      </c>
      <c r="Q20" s="3" t="s">
        <v>164</v>
      </c>
      <c r="R20" s="3" t="s">
        <v>165</v>
      </c>
      <c r="S20" s="3" t="s">
        <v>35</v>
      </c>
      <c r="T20" s="3" t="s">
        <v>166</v>
      </c>
      <c r="U20" s="3" t="s">
        <v>37</v>
      </c>
      <c r="V20" s="3" t="s">
        <v>38</v>
      </c>
      <c r="W20" s="3" t="s">
        <v>166</v>
      </c>
      <c r="X20" s="3" t="s">
        <v>167</v>
      </c>
      <c r="Y20" s="3" t="s">
        <v>64</v>
      </c>
      <c r="Z20" s="3" t="s">
        <v>65</v>
      </c>
    </row>
    <row r="21" spans="1:26" ht="33.6" customHeight="1">
      <c r="A21" s="4">
        <v>20</v>
      </c>
      <c r="B21" s="4">
        <v>27</v>
      </c>
      <c r="C21" s="4">
        <v>14</v>
      </c>
      <c r="D21" s="4">
        <v>12</v>
      </c>
      <c r="E21" s="4">
        <v>25</v>
      </c>
      <c r="F21" s="5">
        <f t="shared" si="0"/>
        <v>4.2</v>
      </c>
      <c r="G21" s="4">
        <v>3</v>
      </c>
      <c r="H21" s="4">
        <v>5</v>
      </c>
      <c r="I21" s="4">
        <v>5</v>
      </c>
      <c r="J21" s="4">
        <v>4</v>
      </c>
      <c r="K21" s="3" t="s">
        <v>168</v>
      </c>
      <c r="L21" s="3" t="s">
        <v>50</v>
      </c>
      <c r="M21" s="3" t="s">
        <v>169</v>
      </c>
      <c r="N21" s="3" t="s">
        <v>30</v>
      </c>
      <c r="O21" s="3" t="s">
        <v>31</v>
      </c>
      <c r="P21" s="3" t="s">
        <v>32</v>
      </c>
      <c r="Q21" s="3" t="s">
        <v>164</v>
      </c>
      <c r="R21" s="3" t="s">
        <v>170</v>
      </c>
      <c r="S21" s="3" t="s">
        <v>35</v>
      </c>
      <c r="T21" s="3" t="s">
        <v>171</v>
      </c>
      <c r="U21" s="3" t="s">
        <v>37</v>
      </c>
      <c r="V21" s="3" t="s">
        <v>38</v>
      </c>
      <c r="W21" s="3" t="s">
        <v>171</v>
      </c>
      <c r="X21" s="3" t="s">
        <v>172</v>
      </c>
      <c r="Y21" s="3" t="s">
        <v>64</v>
      </c>
      <c r="Z21" s="3" t="s">
        <v>65</v>
      </c>
    </row>
    <row r="22" spans="1:26" ht="33.6" customHeight="1">
      <c r="A22" s="4">
        <v>21</v>
      </c>
      <c r="B22" s="4">
        <v>16</v>
      </c>
      <c r="C22" s="4">
        <v>22</v>
      </c>
      <c r="D22" s="4">
        <v>22</v>
      </c>
      <c r="E22" s="4">
        <v>4</v>
      </c>
      <c r="F22" s="5">
        <f t="shared" si="0"/>
        <v>4.0999999999999996</v>
      </c>
      <c r="G22" s="4">
        <v>4</v>
      </c>
      <c r="H22" s="4">
        <v>4</v>
      </c>
      <c r="I22" s="4">
        <v>4</v>
      </c>
      <c r="J22" s="4">
        <v>5</v>
      </c>
      <c r="K22" s="3" t="s">
        <v>173</v>
      </c>
      <c r="L22" s="3" t="s">
        <v>84</v>
      </c>
      <c r="M22" s="3" t="s">
        <v>174</v>
      </c>
      <c r="N22" s="3" t="s">
        <v>30</v>
      </c>
      <c r="O22" s="3" t="s">
        <v>31</v>
      </c>
      <c r="P22" s="3" t="s">
        <v>32</v>
      </c>
      <c r="Q22" s="3" t="s">
        <v>175</v>
      </c>
      <c r="R22" s="3" t="s">
        <v>176</v>
      </c>
      <c r="S22" s="3" t="s">
        <v>88</v>
      </c>
      <c r="T22" s="3" t="s">
        <v>177</v>
      </c>
      <c r="U22" s="3" t="s">
        <v>37</v>
      </c>
      <c r="V22" s="3" t="s">
        <v>38</v>
      </c>
      <c r="W22" s="3" t="s">
        <v>177</v>
      </c>
      <c r="X22" s="3" t="s">
        <v>178</v>
      </c>
      <c r="Y22" s="3" t="s">
        <v>179</v>
      </c>
      <c r="Z22" s="3" t="s">
        <v>180</v>
      </c>
    </row>
    <row r="23" spans="1:26" ht="33.6" customHeight="1">
      <c r="A23" s="4">
        <v>22</v>
      </c>
      <c r="B23" s="4">
        <v>17</v>
      </c>
      <c r="C23" s="4">
        <v>23</v>
      </c>
      <c r="D23" s="4">
        <v>13</v>
      </c>
      <c r="E23" s="4">
        <v>26</v>
      </c>
      <c r="F23" s="5">
        <f t="shared" si="0"/>
        <v>3.85</v>
      </c>
      <c r="G23" s="4">
        <v>4</v>
      </c>
      <c r="H23" s="4">
        <v>3</v>
      </c>
      <c r="I23" s="4">
        <v>5</v>
      </c>
      <c r="J23" s="4">
        <v>4</v>
      </c>
      <c r="K23" s="3" t="s">
        <v>181</v>
      </c>
      <c r="L23" s="3" t="s">
        <v>130</v>
      </c>
      <c r="M23" s="3" t="s">
        <v>182</v>
      </c>
      <c r="N23" s="3" t="s">
        <v>30</v>
      </c>
      <c r="O23" s="3" t="s">
        <v>31</v>
      </c>
      <c r="P23" s="3" t="s">
        <v>32</v>
      </c>
      <c r="Q23" s="3" t="s">
        <v>183</v>
      </c>
      <c r="R23" s="3" t="s">
        <v>184</v>
      </c>
      <c r="S23" s="3" t="s">
        <v>185</v>
      </c>
      <c r="T23" s="3" t="s">
        <v>186</v>
      </c>
      <c r="U23" s="3" t="s">
        <v>37</v>
      </c>
      <c r="V23" s="3" t="s">
        <v>38</v>
      </c>
      <c r="W23" s="3" t="s">
        <v>186</v>
      </c>
      <c r="X23" s="3" t="s">
        <v>187</v>
      </c>
      <c r="Y23" s="3" t="s">
        <v>188</v>
      </c>
      <c r="Z23" s="3" t="s">
        <v>189</v>
      </c>
    </row>
    <row r="24" spans="1:26" ht="33.6" customHeight="1">
      <c r="A24" s="4">
        <v>23</v>
      </c>
      <c r="B24" s="4">
        <v>11</v>
      </c>
      <c r="C24" s="4">
        <v>24</v>
      </c>
      <c r="D24" s="4">
        <v>25</v>
      </c>
      <c r="E24" s="4">
        <v>5</v>
      </c>
      <c r="F24" s="5">
        <f t="shared" si="0"/>
        <v>3.7</v>
      </c>
      <c r="G24" s="4">
        <v>5</v>
      </c>
      <c r="H24" s="4">
        <v>3</v>
      </c>
      <c r="I24" s="4">
        <v>2</v>
      </c>
      <c r="J24" s="4">
        <v>5</v>
      </c>
      <c r="K24" s="3" t="s">
        <v>190</v>
      </c>
      <c r="L24" s="3" t="s">
        <v>191</v>
      </c>
      <c r="M24" s="3" t="s">
        <v>192</v>
      </c>
      <c r="N24" s="3" t="s">
        <v>30</v>
      </c>
      <c r="O24" s="3" t="s">
        <v>31</v>
      </c>
      <c r="P24" s="3" t="s">
        <v>193</v>
      </c>
      <c r="Q24" s="3" t="s">
        <v>194</v>
      </c>
      <c r="R24" s="3" t="s">
        <v>195</v>
      </c>
      <c r="S24" s="3" t="s">
        <v>185</v>
      </c>
      <c r="T24" s="3" t="s">
        <v>196</v>
      </c>
      <c r="U24" s="3" t="s">
        <v>37</v>
      </c>
      <c r="V24" s="3" t="s">
        <v>38</v>
      </c>
      <c r="W24" s="3" t="s">
        <v>196</v>
      </c>
      <c r="X24" s="3" t="s">
        <v>197</v>
      </c>
      <c r="Y24" s="3" t="s">
        <v>198</v>
      </c>
      <c r="Z24" s="3" t="s">
        <v>199</v>
      </c>
    </row>
    <row r="25" spans="1:26" ht="33.6" customHeight="1">
      <c r="A25" s="4">
        <v>24</v>
      </c>
      <c r="B25" s="4">
        <v>12</v>
      </c>
      <c r="C25" s="4">
        <v>25</v>
      </c>
      <c r="D25" s="4">
        <v>26</v>
      </c>
      <c r="E25" s="4">
        <v>6</v>
      </c>
      <c r="F25" s="5">
        <f t="shared" si="0"/>
        <v>3.7</v>
      </c>
      <c r="G25" s="4">
        <v>5</v>
      </c>
      <c r="H25" s="4">
        <v>3</v>
      </c>
      <c r="I25" s="4">
        <v>2</v>
      </c>
      <c r="J25" s="4">
        <v>5</v>
      </c>
      <c r="K25" s="3" t="s">
        <v>200</v>
      </c>
      <c r="L25" s="3" t="s">
        <v>191</v>
      </c>
      <c r="M25" s="3" t="s">
        <v>201</v>
      </c>
      <c r="N25" s="3" t="s">
        <v>30</v>
      </c>
      <c r="O25" s="3" t="s">
        <v>31</v>
      </c>
      <c r="P25" s="3" t="s">
        <v>193</v>
      </c>
      <c r="Q25" s="3" t="s">
        <v>202</v>
      </c>
      <c r="R25" s="3" t="s">
        <v>203</v>
      </c>
      <c r="S25" s="3" t="s">
        <v>185</v>
      </c>
      <c r="T25" s="3" t="s">
        <v>204</v>
      </c>
      <c r="U25" s="3" t="s">
        <v>37</v>
      </c>
      <c r="V25" s="3" t="s">
        <v>38</v>
      </c>
      <c r="W25" s="3" t="s">
        <v>204</v>
      </c>
      <c r="X25" s="3" t="s">
        <v>205</v>
      </c>
      <c r="Y25" s="3" t="s">
        <v>206</v>
      </c>
      <c r="Z25" s="3" t="s">
        <v>207</v>
      </c>
    </row>
    <row r="26" spans="1:26" ht="33.6" customHeight="1">
      <c r="A26" s="4">
        <v>25</v>
      </c>
      <c r="B26" s="4">
        <v>28</v>
      </c>
      <c r="C26" s="4">
        <v>15</v>
      </c>
      <c r="D26" s="4">
        <v>27</v>
      </c>
      <c r="E26" s="4">
        <v>27</v>
      </c>
      <c r="F26" s="5">
        <f t="shared" si="0"/>
        <v>3.6</v>
      </c>
      <c r="G26" s="4">
        <v>3</v>
      </c>
      <c r="H26" s="4">
        <v>5</v>
      </c>
      <c r="I26" s="4">
        <v>2</v>
      </c>
      <c r="J26" s="4">
        <v>4</v>
      </c>
      <c r="K26" s="3" t="s">
        <v>208</v>
      </c>
      <c r="L26" s="3" t="s">
        <v>50</v>
      </c>
      <c r="M26" s="3" t="s">
        <v>209</v>
      </c>
      <c r="N26" s="3" t="s">
        <v>30</v>
      </c>
      <c r="O26" s="3" t="s">
        <v>31</v>
      </c>
      <c r="P26" s="3" t="s">
        <v>193</v>
      </c>
      <c r="Q26" s="3" t="s">
        <v>210</v>
      </c>
      <c r="R26" s="3" t="s">
        <v>211</v>
      </c>
      <c r="S26" s="3" t="s">
        <v>35</v>
      </c>
      <c r="T26" s="3" t="s">
        <v>212</v>
      </c>
      <c r="U26" s="3" t="s">
        <v>37</v>
      </c>
      <c r="V26" s="3" t="s">
        <v>38</v>
      </c>
      <c r="W26" s="3" t="s">
        <v>212</v>
      </c>
      <c r="X26" s="3" t="s">
        <v>213</v>
      </c>
      <c r="Y26" s="3" t="s">
        <v>214</v>
      </c>
      <c r="Z26" s="3" t="s">
        <v>215</v>
      </c>
    </row>
    <row r="27" spans="1:26" ht="33.6" customHeight="1">
      <c r="A27" s="4">
        <v>26</v>
      </c>
      <c r="B27" s="4">
        <v>18</v>
      </c>
      <c r="C27" s="4">
        <v>26</v>
      </c>
      <c r="D27" s="4">
        <v>28</v>
      </c>
      <c r="E27" s="4">
        <v>7</v>
      </c>
      <c r="F27" s="5">
        <f t="shared" si="0"/>
        <v>3.35</v>
      </c>
      <c r="G27" s="4">
        <v>4</v>
      </c>
      <c r="H27" s="4">
        <v>3</v>
      </c>
      <c r="I27" s="4">
        <v>2</v>
      </c>
      <c r="J27" s="4">
        <v>5</v>
      </c>
      <c r="K27" s="3" t="s">
        <v>216</v>
      </c>
      <c r="L27" s="3" t="s">
        <v>191</v>
      </c>
      <c r="M27" s="3" t="s">
        <v>217</v>
      </c>
      <c r="N27" s="3" t="s">
        <v>30</v>
      </c>
      <c r="O27" s="3" t="s">
        <v>31</v>
      </c>
      <c r="P27" s="3" t="s">
        <v>193</v>
      </c>
      <c r="Q27" s="3" t="s">
        <v>218</v>
      </c>
      <c r="R27" s="3" t="s">
        <v>219</v>
      </c>
      <c r="S27" s="3" t="s">
        <v>185</v>
      </c>
      <c r="T27" s="3" t="s">
        <v>220</v>
      </c>
      <c r="U27" s="3" t="s">
        <v>37</v>
      </c>
      <c r="V27" s="3" t="s">
        <v>38</v>
      </c>
      <c r="W27" s="3" t="s">
        <v>220</v>
      </c>
      <c r="X27" s="3" t="s">
        <v>221</v>
      </c>
      <c r="Y27" s="3" t="s">
        <v>222</v>
      </c>
      <c r="Z27" s="3" t="s">
        <v>223</v>
      </c>
    </row>
    <row r="28" spans="1:26" ht="33.6" customHeight="1">
      <c r="A28" s="4">
        <v>27</v>
      </c>
      <c r="B28" s="4">
        <v>29</v>
      </c>
      <c r="C28" s="4">
        <v>27</v>
      </c>
      <c r="D28" s="4">
        <v>23</v>
      </c>
      <c r="E28" s="4">
        <v>28</v>
      </c>
      <c r="F28" s="5">
        <f t="shared" si="0"/>
        <v>3.3</v>
      </c>
      <c r="G28" s="4">
        <v>3</v>
      </c>
      <c r="H28" s="4">
        <v>3</v>
      </c>
      <c r="I28" s="4">
        <v>4</v>
      </c>
      <c r="J28" s="4">
        <v>4</v>
      </c>
      <c r="K28" s="3" t="s">
        <v>224</v>
      </c>
      <c r="L28" s="3" t="s">
        <v>130</v>
      </c>
      <c r="M28" s="3" t="s">
        <v>225</v>
      </c>
      <c r="N28" s="3" t="s">
        <v>30</v>
      </c>
      <c r="O28" s="3" t="s">
        <v>31</v>
      </c>
      <c r="P28" s="3" t="s">
        <v>32</v>
      </c>
      <c r="Q28" s="3" t="s">
        <v>226</v>
      </c>
      <c r="R28" s="3" t="s">
        <v>227</v>
      </c>
      <c r="S28" s="3" t="s">
        <v>185</v>
      </c>
      <c r="T28" s="3" t="s">
        <v>228</v>
      </c>
      <c r="U28" s="3" t="s">
        <v>37</v>
      </c>
      <c r="V28" s="3" t="s">
        <v>38</v>
      </c>
      <c r="W28" s="3" t="s">
        <v>228</v>
      </c>
      <c r="X28" s="3" t="s">
        <v>229</v>
      </c>
      <c r="Y28" s="3" t="s">
        <v>230</v>
      </c>
      <c r="Z28" s="3" t="s">
        <v>189</v>
      </c>
    </row>
    <row r="29" spans="1:26" ht="33.6" customHeight="1">
      <c r="A29" s="4">
        <v>28</v>
      </c>
      <c r="B29" s="4">
        <v>30</v>
      </c>
      <c r="C29" s="4">
        <v>28</v>
      </c>
      <c r="D29" s="4">
        <v>24</v>
      </c>
      <c r="E29" s="4">
        <v>29</v>
      </c>
      <c r="F29" s="5">
        <f t="shared" si="0"/>
        <v>3.3</v>
      </c>
      <c r="G29" s="4">
        <v>3</v>
      </c>
      <c r="H29" s="4">
        <v>3</v>
      </c>
      <c r="I29" s="4">
        <v>4</v>
      </c>
      <c r="J29" s="4">
        <v>4</v>
      </c>
      <c r="K29" s="3" t="s">
        <v>231</v>
      </c>
      <c r="L29" s="3" t="s">
        <v>130</v>
      </c>
      <c r="M29" s="3" t="s">
        <v>232</v>
      </c>
      <c r="N29" s="3" t="s">
        <v>30</v>
      </c>
      <c r="O29" s="3" t="s">
        <v>31</v>
      </c>
      <c r="P29" s="3" t="s">
        <v>32</v>
      </c>
      <c r="Q29" s="3" t="s">
        <v>233</v>
      </c>
      <c r="R29" s="3" t="s">
        <v>234</v>
      </c>
      <c r="S29" s="3" t="s">
        <v>185</v>
      </c>
      <c r="T29" s="3" t="s">
        <v>235</v>
      </c>
      <c r="U29" s="3" t="s">
        <v>37</v>
      </c>
      <c r="V29" s="3" t="s">
        <v>38</v>
      </c>
      <c r="W29" s="3" t="s">
        <v>235</v>
      </c>
      <c r="X29" s="3" t="s">
        <v>236</v>
      </c>
      <c r="Y29" s="3" t="s">
        <v>237</v>
      </c>
      <c r="Z29" s="3" t="s">
        <v>238</v>
      </c>
    </row>
    <row r="30" spans="1:26" ht="33.6" customHeight="1">
      <c r="A30" s="4">
        <v>29</v>
      </c>
      <c r="B30" s="4">
        <v>19</v>
      </c>
      <c r="C30" s="4">
        <v>29</v>
      </c>
      <c r="D30" s="4">
        <v>29</v>
      </c>
      <c r="E30" s="4">
        <v>30</v>
      </c>
      <c r="F30" s="5">
        <f t="shared" si="0"/>
        <v>3.25</v>
      </c>
      <c r="G30" s="4">
        <v>4</v>
      </c>
      <c r="H30" s="4">
        <v>3</v>
      </c>
      <c r="I30" s="4">
        <v>2</v>
      </c>
      <c r="J30" s="4">
        <v>4</v>
      </c>
      <c r="K30" s="3" t="s">
        <v>239</v>
      </c>
      <c r="L30" s="3" t="s">
        <v>84</v>
      </c>
      <c r="M30" s="3" t="s">
        <v>240</v>
      </c>
      <c r="N30" s="3" t="s">
        <v>30</v>
      </c>
      <c r="O30" s="3" t="s">
        <v>31</v>
      </c>
      <c r="P30" s="3" t="s">
        <v>193</v>
      </c>
      <c r="Q30" s="3" t="s">
        <v>241</v>
      </c>
      <c r="R30" s="3" t="s">
        <v>242</v>
      </c>
      <c r="S30" s="3" t="s">
        <v>185</v>
      </c>
      <c r="T30" s="3" t="s">
        <v>243</v>
      </c>
      <c r="U30" s="3" t="s">
        <v>37</v>
      </c>
      <c r="V30" s="3" t="s">
        <v>38</v>
      </c>
      <c r="W30" s="3" t="s">
        <v>243</v>
      </c>
      <c r="X30" s="3" t="s">
        <v>244</v>
      </c>
      <c r="Y30" s="3" t="s">
        <v>245</v>
      </c>
      <c r="Z30" s="3" t="s">
        <v>246</v>
      </c>
    </row>
    <row r="31" spans="1:26" ht="33.6" customHeight="1">
      <c r="A31" s="4">
        <v>30</v>
      </c>
      <c r="B31" s="4">
        <v>20</v>
      </c>
      <c r="C31" s="4">
        <v>30</v>
      </c>
      <c r="D31" s="4">
        <v>30</v>
      </c>
      <c r="E31" s="4">
        <v>31</v>
      </c>
      <c r="F31" s="5">
        <f t="shared" si="0"/>
        <v>3.25</v>
      </c>
      <c r="G31" s="4">
        <v>4</v>
      </c>
      <c r="H31" s="4">
        <v>3</v>
      </c>
      <c r="I31" s="4">
        <v>2</v>
      </c>
      <c r="J31" s="4">
        <v>4</v>
      </c>
      <c r="K31" s="3" t="s">
        <v>247</v>
      </c>
      <c r="L31" s="3" t="s">
        <v>191</v>
      </c>
      <c r="M31" s="3" t="s">
        <v>248</v>
      </c>
      <c r="N31" s="3" t="s">
        <v>30</v>
      </c>
      <c r="O31" s="3" t="s">
        <v>31</v>
      </c>
      <c r="P31" s="3" t="s">
        <v>193</v>
      </c>
      <c r="Q31" s="3" t="s">
        <v>249</v>
      </c>
      <c r="R31" s="3" t="s">
        <v>250</v>
      </c>
      <c r="S31" s="3" t="s">
        <v>185</v>
      </c>
      <c r="T31" s="3" t="s">
        <v>251</v>
      </c>
      <c r="U31" s="3" t="s">
        <v>37</v>
      </c>
      <c r="V31" s="3" t="s">
        <v>38</v>
      </c>
      <c r="W31" s="3" t="s">
        <v>251</v>
      </c>
      <c r="X31" s="3" t="s">
        <v>252</v>
      </c>
      <c r="Y31" s="3" t="s">
        <v>253</v>
      </c>
      <c r="Z31" s="3" t="s">
        <v>254</v>
      </c>
    </row>
    <row r="32" spans="1:26" ht="33.6" customHeight="1">
      <c r="A32" s="4">
        <v>31</v>
      </c>
      <c r="B32" s="4">
        <v>31</v>
      </c>
      <c r="C32" s="4">
        <v>31</v>
      </c>
      <c r="D32" s="4">
        <v>31</v>
      </c>
      <c r="E32" s="4">
        <v>8</v>
      </c>
      <c r="F32" s="5">
        <f t="shared" si="0"/>
        <v>3</v>
      </c>
      <c r="G32" s="4">
        <v>3</v>
      </c>
      <c r="H32" s="4">
        <v>3</v>
      </c>
      <c r="I32" s="4">
        <v>2</v>
      </c>
      <c r="J32" s="4">
        <v>5</v>
      </c>
      <c r="K32" s="3" t="s">
        <v>255</v>
      </c>
      <c r="L32" s="3" t="s">
        <v>50</v>
      </c>
      <c r="M32" s="3" t="s">
        <v>256</v>
      </c>
      <c r="N32" s="3" t="s">
        <v>30</v>
      </c>
      <c r="O32" s="3" t="s">
        <v>31</v>
      </c>
      <c r="P32" s="3" t="s">
        <v>193</v>
      </c>
      <c r="Q32" s="3" t="s">
        <v>257</v>
      </c>
      <c r="R32" s="3" t="s">
        <v>258</v>
      </c>
      <c r="S32" s="3" t="s">
        <v>185</v>
      </c>
      <c r="T32" s="3" t="s">
        <v>259</v>
      </c>
      <c r="U32" s="3" t="s">
        <v>37</v>
      </c>
      <c r="V32" s="3" t="s">
        <v>38</v>
      </c>
      <c r="W32" s="3" t="s">
        <v>259</v>
      </c>
      <c r="X32" s="3" t="s">
        <v>260</v>
      </c>
      <c r="Y32" s="3" t="s">
        <v>214</v>
      </c>
      <c r="Z32" s="3" t="s">
        <v>215</v>
      </c>
    </row>
    <row r="33" spans="1:26" ht="33.6" customHeight="1">
      <c r="A33" s="4">
        <v>32</v>
      </c>
      <c r="B33" s="4">
        <v>32</v>
      </c>
      <c r="C33" s="4">
        <v>32</v>
      </c>
      <c r="D33" s="4">
        <v>32</v>
      </c>
      <c r="E33" s="4">
        <v>32</v>
      </c>
      <c r="F33" s="5">
        <f t="shared" si="0"/>
        <v>2.9</v>
      </c>
      <c r="G33" s="4">
        <v>3</v>
      </c>
      <c r="H33" s="4">
        <v>3</v>
      </c>
      <c r="I33" s="4">
        <v>2</v>
      </c>
      <c r="J33" s="4">
        <v>4</v>
      </c>
      <c r="K33" s="3" t="s">
        <v>261</v>
      </c>
      <c r="L33" s="3" t="s">
        <v>84</v>
      </c>
      <c r="M33" s="3" t="s">
        <v>262</v>
      </c>
      <c r="N33" s="3" t="s">
        <v>30</v>
      </c>
      <c r="O33" s="3" t="s">
        <v>31</v>
      </c>
      <c r="P33" s="3" t="s">
        <v>193</v>
      </c>
      <c r="Q33" s="3" t="s">
        <v>202</v>
      </c>
      <c r="R33" s="3" t="s">
        <v>263</v>
      </c>
      <c r="S33" s="3" t="s">
        <v>185</v>
      </c>
      <c r="T33" s="3" t="s">
        <v>264</v>
      </c>
      <c r="U33" s="3" t="s">
        <v>37</v>
      </c>
      <c r="V33" s="3" t="s">
        <v>38</v>
      </c>
      <c r="W33" s="3" t="s">
        <v>264</v>
      </c>
      <c r="X33" s="3" t="s">
        <v>265</v>
      </c>
      <c r="Y33" s="3" t="s">
        <v>266</v>
      </c>
      <c r="Z33" s="3" t="s">
        <v>246</v>
      </c>
    </row>
    <row r="34" spans="1:26" ht="33.6" customHeight="1">
      <c r="A34" s="4">
        <v>33</v>
      </c>
      <c r="B34" s="4">
        <v>33</v>
      </c>
      <c r="C34" s="4">
        <v>33</v>
      </c>
      <c r="D34" s="4">
        <v>33</v>
      </c>
      <c r="E34" s="4">
        <v>33</v>
      </c>
      <c r="F34" s="5">
        <f t="shared" si="0"/>
        <v>2.9</v>
      </c>
      <c r="G34" s="4">
        <v>3</v>
      </c>
      <c r="H34" s="4">
        <v>3</v>
      </c>
      <c r="I34" s="4">
        <v>2</v>
      </c>
      <c r="J34" s="4">
        <v>4</v>
      </c>
      <c r="K34" s="3" t="s">
        <v>267</v>
      </c>
      <c r="L34" s="3" t="s">
        <v>50</v>
      </c>
      <c r="M34" s="3" t="s">
        <v>268</v>
      </c>
      <c r="N34" s="3" t="s">
        <v>30</v>
      </c>
      <c r="O34" s="3" t="s">
        <v>31</v>
      </c>
      <c r="P34" s="3" t="s">
        <v>193</v>
      </c>
      <c r="Q34" s="3" t="s">
        <v>269</v>
      </c>
      <c r="R34" s="3" t="s">
        <v>270</v>
      </c>
      <c r="S34" s="3" t="s">
        <v>185</v>
      </c>
      <c r="T34" s="3" t="s">
        <v>271</v>
      </c>
      <c r="U34" s="3" t="s">
        <v>37</v>
      </c>
      <c r="V34" s="3" t="s">
        <v>38</v>
      </c>
      <c r="W34" s="3" t="s">
        <v>271</v>
      </c>
      <c r="X34" s="3" t="s">
        <v>272</v>
      </c>
      <c r="Y34" s="3" t="s">
        <v>273</v>
      </c>
      <c r="Z34" s="3" t="s">
        <v>41</v>
      </c>
    </row>
    <row r="35" spans="1:26" ht="33.6" customHeight="1">
      <c r="A35" s="4">
        <v>34</v>
      </c>
      <c r="B35" s="4">
        <v>34</v>
      </c>
      <c r="C35" s="4">
        <v>34</v>
      </c>
      <c r="D35" s="4">
        <v>34</v>
      </c>
      <c r="E35" s="4">
        <v>34</v>
      </c>
      <c r="F35" s="5">
        <f t="shared" si="0"/>
        <v>2.9</v>
      </c>
      <c r="G35" s="4">
        <v>3</v>
      </c>
      <c r="H35" s="4">
        <v>3</v>
      </c>
      <c r="I35" s="4">
        <v>2</v>
      </c>
      <c r="J35" s="4">
        <v>4</v>
      </c>
      <c r="K35" s="3" t="s">
        <v>274</v>
      </c>
      <c r="L35" s="3" t="s">
        <v>50</v>
      </c>
      <c r="M35" s="3" t="s">
        <v>275</v>
      </c>
      <c r="N35" s="3" t="s">
        <v>30</v>
      </c>
      <c r="O35" s="3" t="s">
        <v>31</v>
      </c>
      <c r="P35" s="3" t="s">
        <v>193</v>
      </c>
      <c r="Q35" s="3" t="s">
        <v>276</v>
      </c>
      <c r="R35" s="3" t="s">
        <v>277</v>
      </c>
      <c r="S35" s="3" t="s">
        <v>185</v>
      </c>
      <c r="T35" s="3" t="s">
        <v>278</v>
      </c>
      <c r="U35" s="3" t="s">
        <v>37</v>
      </c>
      <c r="V35" s="3" t="s">
        <v>38</v>
      </c>
      <c r="W35" s="3" t="s">
        <v>278</v>
      </c>
      <c r="X35" s="3" t="s">
        <v>279</v>
      </c>
      <c r="Y35" s="3" t="s">
        <v>280</v>
      </c>
      <c r="Z35" s="3" t="s">
        <v>189</v>
      </c>
    </row>
  </sheetData>
  <conditionalFormatting sqref="A2:A35">
    <cfRule type="colorScale" priority="1">
      <colorScale>
        <cfvo type="min"/>
        <cfvo type="percentile" val="50"/>
        <cfvo type="max"/>
        <color rgb="FFDCFCE7"/>
        <color rgb="FFFEF3C7"/>
        <color rgb="FFFEE2E2"/>
      </colorScale>
    </cfRule>
  </conditionalFormatting>
  <conditionalFormatting sqref="B2:B35">
    <cfRule type="colorScale" priority="2">
      <colorScale>
        <cfvo type="min"/>
        <cfvo type="percentile" val="50"/>
        <cfvo type="max"/>
        <color rgb="FFDCFCE7"/>
        <color rgb="FFFEF3C7"/>
        <color rgb="FFFEE2E2"/>
      </colorScale>
    </cfRule>
  </conditionalFormatting>
  <conditionalFormatting sqref="C2:C35">
    <cfRule type="colorScale" priority="3">
      <colorScale>
        <cfvo type="min"/>
        <cfvo type="percentile" val="50"/>
        <cfvo type="max"/>
        <color rgb="FFDCFCE7"/>
        <color rgb="FFFEF3C7"/>
        <color rgb="FFFEE2E2"/>
      </colorScale>
    </cfRule>
  </conditionalFormatting>
  <conditionalFormatting sqref="D2:D35">
    <cfRule type="colorScale" priority="4">
      <colorScale>
        <cfvo type="min"/>
        <cfvo type="percentile" val="50"/>
        <cfvo type="max"/>
        <color rgb="FFDCFCE7"/>
        <color rgb="FFFEF3C7"/>
        <color rgb="FFFEE2E2"/>
      </colorScale>
    </cfRule>
  </conditionalFormatting>
  <conditionalFormatting sqref="E2:E35">
    <cfRule type="colorScale" priority="5">
      <colorScale>
        <cfvo type="min"/>
        <cfvo type="percentile" val="50"/>
        <cfvo type="max"/>
        <color rgb="FFDCFCE7"/>
        <color rgb="FFFEF3C7"/>
        <color rgb="FFFEE2E2"/>
      </colorScale>
    </cfRule>
  </conditionalFormatting>
  <conditionalFormatting sqref="F2:F35">
    <cfRule type="colorScale" priority="6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G2:G35">
    <cfRule type="colorScale" priority="7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H2:H35">
    <cfRule type="colorScale" priority="8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I2:I35">
    <cfRule type="colorScale" priority="9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J2:J35">
    <cfRule type="colorScale" priority="10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3.8"/>
  <cols>
    <col min="1" max="1" width="35" customWidth="1"/>
    <col min="2" max="2" width="115" customWidth="1"/>
  </cols>
  <sheetData>
    <row r="1" spans="1:2">
      <c r="A1" s="2" t="s">
        <v>281</v>
      </c>
      <c r="B1" s="2" t="s">
        <v>282</v>
      </c>
    </row>
    <row r="2" spans="1:2">
      <c r="A2" t="s">
        <v>0</v>
      </c>
      <c r="B2" t="s">
        <v>283</v>
      </c>
    </row>
    <row r="3" spans="1:2">
      <c r="A3" t="s">
        <v>1</v>
      </c>
      <c r="B3" t="s">
        <v>284</v>
      </c>
    </row>
    <row r="4" spans="1:2">
      <c r="A4" t="s">
        <v>2</v>
      </c>
      <c r="B4" t="s">
        <v>285</v>
      </c>
    </row>
    <row r="5" spans="1:2">
      <c r="A5" t="s">
        <v>3</v>
      </c>
      <c r="B5" t="s">
        <v>286</v>
      </c>
    </row>
    <row r="6" spans="1:2">
      <c r="A6" t="s">
        <v>4</v>
      </c>
      <c r="B6" t="s">
        <v>287</v>
      </c>
    </row>
    <row r="7" spans="1:2">
      <c r="A7" t="s">
        <v>5</v>
      </c>
      <c r="B7" t="s">
        <v>288</v>
      </c>
    </row>
    <row r="8" spans="1:2">
      <c r="A8" t="s">
        <v>25</v>
      </c>
      <c r="B8" t="s">
        <v>289</v>
      </c>
    </row>
    <row r="9" spans="1:2">
      <c r="A9" t="s">
        <v>26</v>
      </c>
      <c r="B9" t="s">
        <v>290</v>
      </c>
    </row>
    <row r="10" spans="1:2">
      <c r="A10" t="s">
        <v>291</v>
      </c>
      <c r="B10" t="s">
        <v>292</v>
      </c>
    </row>
    <row r="11" spans="1:2">
      <c r="A11" t="s">
        <v>293</v>
      </c>
      <c r="B11">
        <v>34</v>
      </c>
    </row>
    <row r="12" spans="1:2">
      <c r="A12" t="s">
        <v>294</v>
      </c>
      <c r="B12" t="s">
        <v>295</v>
      </c>
    </row>
    <row r="13" spans="1:2">
      <c r="A13" t="s">
        <v>296</v>
      </c>
      <c r="B13" t="s">
        <v>297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defaultRowHeight="13.8"/>
  <cols>
    <col min="1" max="1" width="42" customWidth="1"/>
    <col min="2" max="2" width="80" customWidth="1"/>
  </cols>
  <sheetData>
    <row r="1" spans="1:2">
      <c r="A1" s="1" t="s">
        <v>298</v>
      </c>
      <c r="B1" s="1" t="s">
        <v>299</v>
      </c>
    </row>
    <row r="2" spans="1:2">
      <c r="A2" t="s">
        <v>293</v>
      </c>
      <c r="B2">
        <v>34</v>
      </c>
    </row>
    <row r="3" spans="1:2">
      <c r="A3" t="s">
        <v>300</v>
      </c>
      <c r="B3" t="s">
        <v>301</v>
      </c>
    </row>
    <row r="4" spans="1:2">
      <c r="A4" t="s">
        <v>302</v>
      </c>
      <c r="B4" t="s">
        <v>25</v>
      </c>
    </row>
    <row r="5" spans="1:2">
      <c r="A5" t="s">
        <v>303</v>
      </c>
      <c r="B5" t="s">
        <v>26</v>
      </c>
    </row>
    <row r="6" spans="1:2">
      <c r="A6" t="s">
        <v>304</v>
      </c>
      <c r="B6" t="s">
        <v>305</v>
      </c>
    </row>
    <row r="7" spans="1:2">
      <c r="A7" t="s">
        <v>306</v>
      </c>
      <c r="B7" t="s">
        <v>307</v>
      </c>
    </row>
    <row r="8" spans="1:2">
      <c r="A8" t="s">
        <v>308</v>
      </c>
      <c r="B8" t="s">
        <v>29</v>
      </c>
    </row>
    <row r="9" spans="1:2">
      <c r="A9" t="s">
        <v>309</v>
      </c>
      <c r="B9" t="s">
        <v>29</v>
      </c>
    </row>
    <row r="10" spans="1:2">
      <c r="A10" t="s">
        <v>310</v>
      </c>
      <c r="B10" t="s">
        <v>29</v>
      </c>
    </row>
    <row r="11" spans="1:2">
      <c r="A11" t="s">
        <v>311</v>
      </c>
      <c r="B11" t="s">
        <v>29</v>
      </c>
    </row>
    <row r="12" spans="1:2">
      <c r="A12" t="s">
        <v>312</v>
      </c>
      <c r="B12" t="s">
        <v>51</v>
      </c>
    </row>
    <row r="13" spans="1:2">
      <c r="A13" t="s">
        <v>296</v>
      </c>
      <c r="B13" t="s">
        <v>297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tabSelected="1" workbookViewId="0">
      <selection activeCell="B2" sqref="B2"/>
    </sheetView>
  </sheetViews>
  <sheetFormatPr defaultRowHeight="13.8"/>
  <cols>
    <col min="1" max="1" width="36" customWidth="1"/>
    <col min="2" max="2" width="58" customWidth="1"/>
    <col min="3" max="3" width="66" customWidth="1"/>
    <col min="4" max="4" width="58" customWidth="1"/>
    <col min="5" max="5" width="72" customWidth="1"/>
  </cols>
  <sheetData>
    <row r="1" spans="1:5">
      <c r="A1" s="2" t="s">
        <v>1500</v>
      </c>
      <c r="B1" s="2" t="s">
        <v>1501</v>
      </c>
      <c r="C1" s="2" t="s">
        <v>313</v>
      </c>
      <c r="D1" s="2" t="s">
        <v>314</v>
      </c>
      <c r="E1" s="2" t="s">
        <v>315</v>
      </c>
    </row>
    <row r="2" spans="1:5" ht="27.6">
      <c r="A2" s="3" t="s">
        <v>316</v>
      </c>
      <c r="B2" s="3" t="s">
        <v>317</v>
      </c>
      <c r="C2" s="3" t="s">
        <v>318</v>
      </c>
      <c r="D2" s="3" t="s">
        <v>319</v>
      </c>
      <c r="E2" s="3" t="s">
        <v>320</v>
      </c>
    </row>
    <row r="3" spans="1:5" ht="27.6">
      <c r="A3" s="3" t="s">
        <v>321</v>
      </c>
      <c r="B3" s="3" t="s">
        <v>322</v>
      </c>
      <c r="C3" s="3" t="s">
        <v>323</v>
      </c>
      <c r="D3" s="3" t="s">
        <v>324</v>
      </c>
      <c r="E3" s="3" t="s">
        <v>325</v>
      </c>
    </row>
    <row r="4" spans="1:5" ht="27.6">
      <c r="A4" s="3" t="s">
        <v>326</v>
      </c>
      <c r="B4" s="3" t="s">
        <v>327</v>
      </c>
      <c r="C4" s="3" t="s">
        <v>328</v>
      </c>
      <c r="D4" s="3" t="s">
        <v>329</v>
      </c>
      <c r="E4" s="3" t="s">
        <v>330</v>
      </c>
    </row>
    <row r="5" spans="1:5" ht="27.6">
      <c r="A5" s="3" t="s">
        <v>331</v>
      </c>
      <c r="B5" s="3" t="s">
        <v>332</v>
      </c>
      <c r="C5" s="3" t="s">
        <v>333</v>
      </c>
      <c r="D5" s="3" t="s">
        <v>334</v>
      </c>
      <c r="E5" s="3" t="s">
        <v>335</v>
      </c>
    </row>
    <row r="6" spans="1:5" ht="27.6">
      <c r="A6" s="3" t="s">
        <v>336</v>
      </c>
      <c r="B6" s="3" t="s">
        <v>337</v>
      </c>
      <c r="C6" s="3" t="s">
        <v>338</v>
      </c>
      <c r="D6" s="3" t="s">
        <v>339</v>
      </c>
      <c r="E6" s="3" t="s">
        <v>340</v>
      </c>
    </row>
    <row r="7" spans="1:5" ht="27.6">
      <c r="A7" s="3" t="s">
        <v>341</v>
      </c>
      <c r="B7" s="3" t="s">
        <v>342</v>
      </c>
      <c r="C7" s="3" t="s">
        <v>343</v>
      </c>
      <c r="D7" s="3" t="s">
        <v>344</v>
      </c>
      <c r="E7" s="3" t="s">
        <v>345</v>
      </c>
    </row>
    <row r="8" spans="1:5" ht="27.6">
      <c r="A8" s="3" t="s">
        <v>346</v>
      </c>
      <c r="B8" s="3" t="s">
        <v>347</v>
      </c>
      <c r="C8" s="3" t="s">
        <v>348</v>
      </c>
      <c r="D8" s="3" t="s">
        <v>349</v>
      </c>
      <c r="E8" s="3" t="s">
        <v>350</v>
      </c>
    </row>
    <row r="9" spans="1:5" ht="27.6">
      <c r="A9" s="3" t="s">
        <v>351</v>
      </c>
      <c r="B9" s="3" t="s">
        <v>352</v>
      </c>
      <c r="C9" s="3" t="s">
        <v>353</v>
      </c>
      <c r="D9" s="3" t="s">
        <v>354</v>
      </c>
      <c r="E9" s="3" t="s">
        <v>355</v>
      </c>
    </row>
    <row r="10" spans="1:5" ht="27.6">
      <c r="A10" s="3" t="s">
        <v>356</v>
      </c>
      <c r="B10" s="3" t="s">
        <v>357</v>
      </c>
      <c r="C10" s="3" t="s">
        <v>358</v>
      </c>
      <c r="D10" s="3" t="s">
        <v>359</v>
      </c>
      <c r="E10" s="3" t="s">
        <v>360</v>
      </c>
    </row>
    <row r="11" spans="1:5" ht="27.6">
      <c r="A11" s="3" t="s">
        <v>361</v>
      </c>
      <c r="B11" s="3" t="s">
        <v>362</v>
      </c>
      <c r="C11" s="3" t="s">
        <v>363</v>
      </c>
      <c r="D11" s="3" t="s">
        <v>364</v>
      </c>
      <c r="E11" s="3" t="s">
        <v>365</v>
      </c>
    </row>
    <row r="12" spans="1:5" ht="27.6">
      <c r="A12" s="3" t="s">
        <v>366</v>
      </c>
      <c r="B12" s="3" t="s">
        <v>367</v>
      </c>
      <c r="C12" s="3" t="s">
        <v>368</v>
      </c>
      <c r="D12" s="3" t="s">
        <v>369</v>
      </c>
      <c r="E12" s="3" t="s">
        <v>370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datasets</vt:lpstr>
      <vt:lpstr>datasets_ve</vt:lpstr>
      <vt:lpstr>criterios</vt:lpstr>
      <vt:lpstr>resumo</vt:lpstr>
      <vt:lpstr>sugestao_por_produto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</cp:lastModifiedBy>
  <dcterms:modified xsi:type="dcterms:W3CDTF">2026-05-26T01:43:42Z</dcterms:modified>
</cp:coreProperties>
</file>