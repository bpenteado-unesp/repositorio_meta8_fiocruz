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Bruno\Desktop\Fiocruz\SEIDIGI\Meta 8 - Data science epidemiology\5-Repositório\streamlit\repositorio\src\data\"/>
    </mc:Choice>
  </mc:AlternateContent>
  <xr:revisionPtr revIDLastSave="0" documentId="13_ncr:1_{D43A50D1-7042-47E6-8421-D4F3333157D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lataformas_compartilhamento" sheetId="1" r:id="rId1"/>
    <sheet name="sugestao_por_produto" sheetId="5" r:id="rId2"/>
    <sheet name="listas" sheetId="2" r:id="rId3"/>
    <sheet name="resumo" sheetId="3" r:id="rId4"/>
    <sheet name="criterio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<sst xmlns="http://schemas.openxmlformats.org/spreadsheetml/2006/main" count="622" uniqueCount="518">
  <si>
    <t>categoria</t>
  </si>
  <si>
    <t>gratuita_ou_modelo_de_custo</t>
  </si>
  <si>
    <t>escopo</t>
  </si>
  <si>
    <t>conteudo_principal</t>
  </si>
  <si>
    <t>uso_no_contexto_ve</t>
  </si>
  <si>
    <t>potencial_para_ve_e_ciencia_de_dados</t>
  </si>
  <si>
    <t>cuidados_observacoes</t>
  </si>
  <si>
    <t>fonte</t>
  </si>
  <si>
    <t>Portal institucional de dados abertos</t>
  </si>
  <si>
    <t>CKAN</t>
  </si>
  <si>
    <t>Gratuita/open source para auto-hospedagem; custos de infraestrutura e manutenção</t>
  </si>
  <si>
    <t>Catálogo de dados; metadados; APIs; arquivos; dados abertos governamentais</t>
  </si>
  <si>
    <t>Sistema de gerenciamento de dados para catalogar, armazenar, publicar, acessar e compartilhar datasets com API, metadados e extensões.</t>
  </si>
  <si>
    <t>Alto</t>
  </si>
  <si>
    <t>Não nativamente</t>
  </si>
  <si>
    <t>https://ckan.org/</t>
  </si>
  <si>
    <t>Socrata / Tyler Data &amp; Insights</t>
  </si>
  <si>
    <t>Comercial; acesso público aos portais pode ser gratuito</t>
  </si>
  <si>
    <t>Dados abertos; APIs; visualizações; catálogos governamentais</t>
  </si>
  <si>
    <t>Plataforma de dados abertos com API programática, visualizações e publicação de datasets públicos.</t>
  </si>
  <si>
    <t>https://dev.socrata.com/</t>
  </si>
  <si>
    <t>Portal geoespacial e institucional</t>
  </si>
  <si>
    <t>ArcGIS Hub</t>
  </si>
  <si>
    <t>Comercial; dados públicos podem ser acessados gratuitamente</t>
  </si>
  <si>
    <t>Dados geoespaciais; mapas; APIs; story maps; dashboards; arquivos</t>
  </si>
  <si>
    <t>Portal geoespacial para descobrir, analisar, baixar e compartilhar dados em formatos como CSV, KML, GeoJSON e serviços GIS.</t>
  </si>
  <si>
    <t>Limitado</t>
  </si>
  <si>
    <t>https://hub.arcgis.com/</t>
  </si>
  <si>
    <t>Sistema de informação em saúde</t>
  </si>
  <si>
    <t>DHIS2</t>
  </si>
  <si>
    <t>Gratuita/open source; custos de implantação, hospedagem e suporte</t>
  </si>
  <si>
    <t>Dados de saúde; indicadores; dashboards; mapas; relatórios; APIs</t>
  </si>
  <si>
    <t>Plataforma open source para coleta, validação, gestão, análise, visualização e compartilhamento de dados de saúde.</t>
  </si>
  <si>
    <t>https://dhis2.org/</t>
  </si>
  <si>
    <t>Repositório generalista de pesquisa</t>
  </si>
  <si>
    <t>Zenodo</t>
  </si>
  <si>
    <t>Gratuita para depósito público dentro dos limites da plataforma</t>
  </si>
  <si>
    <t>Dados; software; relatórios; preprints; artefatos de pesquisa; DOI</t>
  </si>
  <si>
    <t>Repositório aberto para resultados de pesquisa, com DOI, versionamento de registros e comunidades temáticas.</t>
  </si>
  <si>
    <t>Médio/Alto</t>
  </si>
  <si>
    <t>Não</t>
  </si>
  <si>
    <t>https://zenodo.org/</t>
  </si>
  <si>
    <t>Harvard Dataverse / Dataverse</t>
  </si>
  <si>
    <t>Harvard Dataverse é gratuito para pesquisadores; software Dataverse é open source para auto-hospedagem</t>
  </si>
  <si>
    <t>Dados de pesquisa; metadados; DOI; repositórios institucionais</t>
  </si>
  <si>
    <t>https://dataverse.org/</t>
  </si>
  <si>
    <t>Figshare</t>
  </si>
  <si>
    <t>Modelo freemium/comercial; depósito público pode ter plano gratuito ou institucional</t>
  </si>
  <si>
    <t>Dados; figuras; software; materiais suplementares; DOI</t>
  </si>
  <si>
    <t>Repositório para dados e resultados de pesquisa, aceitando diversos formatos e atribuindo DOI.</t>
  </si>
  <si>
    <t>Médio</t>
  </si>
  <si>
    <t>Atenção a limites de plano, licença, privacidade e descrição adequada de dados.</t>
  </si>
  <si>
    <t>https://figshare.com/</t>
  </si>
  <si>
    <t>Dryad</t>
  </si>
  <si>
    <t>Acesso público gratuito; depósito pode envolver taxa de publicação ou cobertura por instituição/revista</t>
  </si>
  <si>
    <t>Dados de pesquisa; datasets associados a publicações; DOI</t>
  </si>
  <si>
    <t>Repositório curado para publicar e preservar dados de pesquisa, especialmente dados subjacentes a artigos.</t>
  </si>
  <si>
    <t>Dados publicados ficam geralmente abertos para reutilização; evitar dados sensíveis e preparar documentação robusta.</t>
  </si>
  <si>
    <t>https://datadryad.org/</t>
  </si>
  <si>
    <t>Gestão e compartilhamento de projetos de pesquisa</t>
  </si>
  <si>
    <t>Open Science Framework (OSF)</t>
  </si>
  <si>
    <t>Gratuita/open source; planos e serviços institucionais podem existir</t>
  </si>
  <si>
    <t>Projetos; dados; protocolos; preprints; registros; materiais de pesquisa</t>
  </si>
  <si>
    <t>Plataforma para organizar, colaborar, armazenar, compartilhar e tornar públicos componentes de projetos de pesquisa.</t>
  </si>
  <si>
    <t>Controlar permissões entre privado/público; evitar anexar dados sensíveis por engano.</t>
  </si>
  <si>
    <t>https://www.cos.io/products/osf</t>
  </si>
  <si>
    <t>Mendeley Data</t>
  </si>
  <si>
    <t>Gratuita para uso comum; vinculada ao ecossistema Elsevier/Digital Commons Data</t>
  </si>
  <si>
    <t>Datasets; DOI; versionamento; compartilhamento público/privado</t>
  </si>
  <si>
    <t>Repositório de dados para tornar datasets citáveis, compartilhar de forma privada ou pública e preservar versões.</t>
  </si>
  <si>
    <t>Verificar termos, licenças e adequação a dados sensíveis ou restritos.</t>
  </si>
  <si>
    <t>https://data.mendeley.com/</t>
  </si>
  <si>
    <t>Repositório para ciências sociais e saúde</t>
  </si>
  <si>
    <t>openICPSR</t>
  </si>
  <si>
    <t>Acesso público gratuito; depósito gratuito até limites especificados em algumas políticas</t>
  </si>
  <si>
    <t>Dados sociais, comportamentais e de saúde; replicação; DOI</t>
  </si>
  <si>
    <t>Serviço de compartilhamento de dados de pesquisa para acesso público e cumprimento de requisitos de financiamento/publicação.</t>
  </si>
  <si>
    <t>https://www.openicpsr.org/</t>
  </si>
  <si>
    <t>Compartilhamento de código, dados e colaboração</t>
  </si>
  <si>
    <t>GitHub</t>
  </si>
  <si>
    <t>Plano gratuito para repositórios públicos/privados com limites; planos pagos para recursos avançados</t>
  </si>
  <si>
    <t>Código; documentação; dados pequenos; páginas; issues; workflows; releases</t>
  </si>
  <si>
    <t>Hospedagem de repositórios Git, colaboração, versionamento, documentação, releases, GitHub Pages e automação.</t>
  </si>
  <si>
    <t>Sim, via recursos associados</t>
  </si>
  <si>
    <t>Plataforma de notebooks e datasets</t>
  </si>
  <si>
    <t>Kaggle</t>
  </si>
  <si>
    <t>Gratuita com limites de recursos computacionais</t>
  </si>
  <si>
    <t>Datasets; notebooks; modelos; competições; código executável</t>
  </si>
  <si>
    <t>Plataforma para publicar datasets, executar notebooks online, compartilhar código e colaborar em projetos de ciência de dados.</t>
  </si>
  <si>
    <t>Sim</t>
  </si>
  <si>
    <t>https://www.kaggle.com/code</t>
  </si>
  <si>
    <t>Notebook cloud</t>
  </si>
  <si>
    <t>Google Colab</t>
  </si>
  <si>
    <t>Gratuita com limites; planos pagos para mais recursos</t>
  </si>
  <si>
    <t>Notebooks executáveis; código; análises; colaboração</t>
  </si>
  <si>
    <t>Serviço de notebooks Jupyter hospedado que permite escrever e executar código no navegador sem configuração local.</t>
  </si>
  <si>
    <t>https://research.google.com/colaboratory/faq.html</t>
  </si>
  <si>
    <t>Posit Cloud</t>
  </si>
  <si>
    <t>Plano gratuito disponível; planos pagos para indivíduos, instrutores e equipes</t>
  </si>
  <si>
    <t>Projetos R/Python; notebooks; ensino; colaboração</t>
  </si>
  <si>
    <t>Ambiente online para criar, compartilhar, ensinar e aprender ciência de dados usando RStudio IDE ou Jupyter Notebooks.</t>
  </si>
  <si>
    <t>Verificar limites de plano, privacidade, hospedagem e política institucional antes de usar dados sensíveis.</t>
  </si>
  <si>
    <t>Reprodutibilidade computacional</t>
  </si>
  <si>
    <t>Binder / BinderHub</t>
  </si>
  <si>
    <t>Open source; instâncias públicas gratuitas têm limites; auto-hospedagem exige infraestrutura</t>
  </si>
  <si>
    <t>Ambientes executáveis; notebooks; repositórios Git</t>
  </si>
  <si>
    <t>Transforma repositórios Git em ambientes executáveis e reproduzíveis, geralmente com Jupyter notebooks.</t>
  </si>
  <si>
    <t>Não indicado para dados sensíveis; recursos públicos são temporários e limitados.</t>
  </si>
  <si>
    <t>https://jupyter.org/binder</t>
  </si>
  <si>
    <t>Code Ocean</t>
  </si>
  <si>
    <t>Comercial/institucional; integrações com editoras podem permitir uso sem custo para autores em alguns fluxos</t>
  </si>
  <si>
    <t>Cápsulas computacionais; código; dados; resultados; artigos reprodutíveis</t>
  </si>
  <si>
    <t>Plataforma cloud para empacotar dados, código, ambiente computacional e scripts de execução em cápsulas reproduzíveis.</t>
  </si>
  <si>
    <t>Avaliar custo, privacidade e impossibilidade de incluir dados restritos sem controles adequados.</t>
  </si>
  <si>
    <t>https://innovate.ieee.org/ieee-code-ocean/</t>
  </si>
  <si>
    <t>Plataforma biomédica segura</t>
  </si>
  <si>
    <t>Terra.bio</t>
  </si>
  <si>
    <t>Plataforma de nuvem; custos de computação/armazenamento variam conforme uso e ambiente</t>
  </si>
  <si>
    <t>Dados biomédicos; workspaces; workflows; colaboração segura</t>
  </si>
  <si>
    <t>Plataforma cloud para acesso a dados biomédicos, execução de ferramentas/workflows e colaboração segura.</t>
  </si>
  <si>
    <t>Médio/Alto em genômica e dados biomédicos</t>
  </si>
  <si>
    <t>Análise genômica, workflows de patógenos, colaboração segura e integração com dados biomédicos controlados.</t>
  </si>
  <si>
    <t>https://terra.bio/</t>
  </si>
  <si>
    <t>Bioinformática e saúde pública</t>
  </si>
  <si>
    <t>Galaxy</t>
  </si>
  <si>
    <t>Open source; instâncias públicas gratuitas e instâncias institucionais</t>
  </si>
  <si>
    <t>Workflows; dados de bioinformática; ferramentas; histórico de análises</t>
  </si>
  <si>
    <t>Plataforma web para análise de dados em ciências da vida, criação e execução de workflows bioinformáticos.</t>
  </si>
  <si>
    <t>Alto em vigilância genômica/laboratorial</t>
  </si>
  <si>
    <t>https://usegalaxy.org/</t>
  </si>
  <si>
    <t>Vigilância genômica e visualização</t>
  </si>
  <si>
    <t>Nextstrain</t>
  </si>
  <si>
    <t>Open source e site público; custos se auto-hospedado</t>
  </si>
  <si>
    <t>Dados genômicos; filogenia; visualização; narrativas; vigilância em tempo real</t>
  </si>
  <si>
    <t>Plataforma para visualização interativa de populações de patógenos em evolução e dados genômicos atualizados.</t>
  </si>
  <si>
    <t>Alto em vigilância genômica</t>
  </si>
  <si>
    <t>https://nextstrain.org/</t>
  </si>
  <si>
    <t>Vigilância genômica e compartilhamento de sequências</t>
  </si>
  <si>
    <t>GISAID</t>
  </si>
  <si>
    <t>Acesso gratuito mediante cadastro e termos de uso</t>
  </si>
  <si>
    <t>Sequências virais; metadados; vigilância genômica; influenza; SARS-CoV-2; outros patógenos</t>
  </si>
  <si>
    <t>Termos de uso restringem redistribuição; governança de crédito, metadados e acesso é essencial.</t>
  </si>
  <si>
    <t>https://gisaid.org/</t>
  </si>
  <si>
    <t>Plataforma clínica controlada</t>
  </si>
  <si>
    <t>Vivli</t>
  </si>
  <si>
    <t>Acesso mediante solicitação/aprovação; custos podem depender de provedor, estudo ou política institucional</t>
  </si>
  <si>
    <t>Dados de ensaios clínicos; ambiente analítico; solicitações controladas</t>
  </si>
  <si>
    <t>Plataforma global de compartilhamento de dados clínicos para pesquisar, solicitar e analisar dados de ensaios clínicos.</t>
  </si>
  <si>
    <t>Nicho/Médio</t>
  </si>
  <si>
    <t>Sim, mediante acesso aprovado</t>
  </si>
  <si>
    <t>Reanálise de ensaios, metanálises individuais, avaliação clínica relacionada a vacinas, terapias e intervenções.</t>
  </si>
  <si>
    <t>https://vivli.org/</t>
  </si>
  <si>
    <t>Plataforma segura para dados sensíveis</t>
  </si>
  <si>
    <t>OpenSAFELY</t>
  </si>
  <si>
    <t>Open source; acesso real restrito a usuários aprovados e contexto NHS/colaborações</t>
  </si>
  <si>
    <t>Análise segura; dados sensíveis; código aberto; resultados auditáveis</t>
  </si>
  <si>
    <t>Alto como referência em COVID-19 e EHR</t>
  </si>
  <si>
    <t>Sim, restrito</t>
  </si>
  <si>
    <t>https://www.opensafely.org/</t>
  </si>
  <si>
    <t>Plataforma epidemiológica integrada</t>
  </si>
  <si>
    <t>EpiGraphHub</t>
  </si>
  <si>
    <t>Open source; custos de hospedagem/integração conforme implantação</t>
  </si>
  <si>
    <t>Dados epidemiológicos; APIs; dashboards; análises automatizadas; apps</t>
  </si>
  <si>
    <t>Plataforma open source para integrar dados epidemiológicos, automatizar coleta/transformação, explorar dados e desenvolver aplicações.</t>
  </si>
  <si>
    <t>Alto como plataforma especializada</t>
  </si>
  <si>
    <t>Limitado/Sim conforme implantação</t>
  </si>
  <si>
    <t>https://www.jmir.org/2023/1/e40554/</t>
  </si>
  <si>
    <t>Repositório de dados de engenharia e pesquisa</t>
  </si>
  <si>
    <t>IEEE DataPort</t>
  </si>
  <si>
    <t>Modelo comercial/assinatura; datasets open access podem estar disponíveis</t>
  </si>
  <si>
    <t>Datasets; ferramentas de análise; dados de pesquisa; DOI</t>
  </si>
  <si>
    <t>Plataforma online para compartilhar, acessar e gerenciar datasets em um local confiável.</t>
  </si>
  <si>
    <t>Avaliar custos de assinatura, acesso aberto e licenças de reutilização.</t>
  </si>
  <si>
    <t>https://innovate.ieee.org/ieee-dataport/</t>
  </si>
  <si>
    <t>Hospedagem de modelos e datasets de IA</t>
  </si>
  <si>
    <t>Hugging Face Hub / Spaces</t>
  </si>
  <si>
    <t>Plano gratuito com limites; planos pagos/enterprise para recursos e privacidade</t>
  </si>
  <si>
    <t>Modelos; datasets; demos; Spaces; cards; código</t>
  </si>
  <si>
    <t>Hub para compartilhar modelos, datasets, documentação e aplicações demonstrativas executáveis.</t>
  </si>
  <si>
    <t>https://huggingface.co/docs/hub/main/index</t>
  </si>
  <si>
    <t>suporte_execucao</t>
  </si>
  <si>
    <t>uso_ve</t>
  </si>
  <si>
    <t>modelo_custo</t>
  </si>
  <si>
    <t>Resumo</t>
  </si>
  <si>
    <t>Valor</t>
  </si>
  <si>
    <t>Categoria</t>
  </si>
  <si>
    <t>Quantidade</t>
  </si>
  <si>
    <t>Total de plataformas</t>
  </si>
  <si>
    <t>Categorias distintas</t>
  </si>
  <si>
    <t>Com execução online Sim</t>
  </si>
  <si>
    <t>Com execução online Limitado</t>
  </si>
  <si>
    <t>Com execução online Não/não nativamente</t>
  </si>
  <si>
    <t>Uso em VE Alto</t>
  </si>
  <si>
    <t>Uso em VE Médio/Alto</t>
  </si>
  <si>
    <t>Uso em VE Médio</t>
  </si>
  <si>
    <t>Uso em VE Nicho/Médio</t>
  </si>
  <si>
    <t>Campo</t>
  </si>
  <si>
    <t>Critério usado</t>
  </si>
  <si>
    <t>uso_no_contexto_ve = Alto</t>
  </si>
  <si>
    <t>Plataformas com uso institucional explícito em saúde pública/vigilância, amplo uso em portais oficiais, vigilância genômica ou resposta a emergências.</t>
  </si>
  <si>
    <t>uso_no_contexto_ve = Médio/Alto</t>
  </si>
  <si>
    <t>Plataformas muito usadas em pesquisa/dados abertos e frequentemente úteis para estudos epidemiológicos, mas não necessariamente específicas de VE.</t>
  </si>
  <si>
    <t>uso_no_contexto_ve = Médio</t>
  </si>
  <si>
    <t>Plataformas úteis para pesquisa, ensino, ciência aberta ou dados de saúde, com uso provável/indireto em VE.</t>
  </si>
  <si>
    <t>uso_no_contexto_ve = Nicho/Médio</t>
  </si>
  <si>
    <t>Plataformas especializadas em ensaios clínicos, engenharia, dados controlados ou subdomínios que podem apoiar VE em casos específicos.</t>
  </si>
  <si>
    <t>suporta_executar_scripts_online = Sim</t>
  </si>
  <si>
    <t>Permite executar notebooks, workflows, scripts, cápsulas computacionais, apps ou código em ambiente online/cloud.</t>
  </si>
  <si>
    <t>suporta_executar_scripts_online = Limitado</t>
  </si>
  <si>
    <t>Permite visualização/análise interativa, apps ou execução em integrações; não é um ambiente geral de scripts por padrão.</t>
  </si>
  <si>
    <t>suporta_executar_scripts_online = Não / Não nativamente</t>
  </si>
  <si>
    <t>Hospeda dados, metadados ou código, mas a execução analítica ocorre em outro ambiente.</t>
  </si>
  <si>
    <t>Classificação simplificada. Gratuidade pode variar por país, instituição, plano, volume de armazenamento, recursos computacionais e termos de uso.</t>
  </si>
  <si>
    <t>observação LGPD</t>
  </si>
  <si>
    <t>Dados sensíveis ou potencialmente reidentificáveis devem ser compartilhados apenas em ambientes controlados, com base legal, minimização, anonimização/agregação, controle de acesso e documentação.</t>
  </si>
  <si>
    <t>data_geracao</t>
  </si>
  <si>
    <t>2026-05-25</t>
  </si>
  <si>
    <t>rank_balanceado</t>
  </si>
  <si>
    <t>rank_popularidade_geral</t>
  </si>
  <si>
    <t>rank_uso_institucional_ve</t>
  </si>
  <si>
    <t>rank_especificidade_ve</t>
  </si>
  <si>
    <t>rank_adequacao_informes</t>
  </si>
  <si>
    <t>score_balanceado</t>
  </si>
  <si>
    <t>popularidade_geral_1a5</t>
  </si>
  <si>
    <t>uso_institucional_ve_1a5</t>
  </si>
  <si>
    <t>especificidade_ve_1a5</t>
  </si>
  <si>
    <t>adequacao_informes_1a5</t>
  </si>
  <si>
    <t>nota_criterio_ranking</t>
  </si>
  <si>
    <t>ferramenta</t>
  </si>
  <si>
    <t>tipo</t>
  </si>
  <si>
    <t>gratuita_ou_paga</t>
  </si>
  <si>
    <t>generica_ou_especifica_ve</t>
  </si>
  <si>
    <t>casos_de_aplicacao_na_area</t>
  </si>
  <si>
    <t>formatos_de_divulgacao</t>
  </si>
  <si>
    <t>publico_alvo</t>
  </si>
  <si>
    <t>thumbnail_url</t>
  </si>
  <si>
    <t>Muito difundido em sistemas nacionais de informação em saúde; forte para coleta, gestão, análise, dashboards e compartilhamento de dados de saúde pública.</t>
  </si>
  <si>
    <t>Plataforma web de informação em saúde</t>
  </si>
  <si>
    <t>Específica/fortemente aderente à saúde pública e vigilância</t>
  </si>
  <si>
    <t>Sistemas nacionais e subnacionais de informação em saúde, programas de imunização, vigilância programática, monitoramento de indicadores e resposta a emergências.</t>
  </si>
  <si>
    <t>Dashboards; mapas; relatórios; tabelas; APIs; apps; visualizações internas</t>
  </si>
  <si>
    <t>Ministérios da Saúde, secretarias, programas de saúde, vigilância, gestores e unidades de saúde</t>
  </si>
  <si>
    <t>Muito adequado para compartilhamento institucional de indicadores e dados agregados de saúde com governança e hierarquias territoriais.</t>
  </si>
  <si>
    <t>Exige modelagem cuidadosa de metadados, hierarquia organizacional e regras de acesso; análises avançadas podem requerer integração com R/Python.</t>
  </si>
  <si>
    <t>https://www.google.com/s2/favicons?domain=dhis2.org&amp;sz=64</t>
  </si>
  <si>
    <t>Muito forte para compartilhamento geoespacial, mapas, dados abertos e comunicação territorial em saúde pública.</t>
  </si>
  <si>
    <t>Plataforma web geoespacial</t>
  </si>
  <si>
    <t>Paga/comercial; dados públicos podem ser acessados gratuitamente</t>
  </si>
  <si>
    <t>Genérica, com forte uso em saúde pública territorial</t>
  </si>
  <si>
    <t>WHO GIS Hub, mapas de risco, dados territoriais, cobertura vacinal, serviços de saúde, vigilância ambiental e comunicação pública georreferenciada.</t>
  </si>
  <si>
    <t>Mapas; story maps; dashboards; páginas públicas; APIs GeoServices/WMS/WFS; downloads CSV/GeoJSON/KML</t>
  </si>
  <si>
    <t>Gestores, vigilância territorial, pesquisadores, parceiros e população</t>
  </si>
  <si>
    <t>Muito útil para disseminar dados georreferenciados, camadas territoriais, indicadores por área e mapas interativos.</t>
  </si>
  <si>
    <t>Atenção ao risco de reidentificação espacial em agravos raros, pequenos territórios ou populações vulnerabilizadas.</t>
  </si>
  <si>
    <t>https://www.google.com/s2/favicons?domain=hub.arcgis.com&amp;sz=64</t>
  </si>
  <si>
    <t>Plataforma global central para compartilhamento de sequências virais, especialmente influenza e SARS-CoV-2.</t>
  </si>
  <si>
    <t>Plataforma global de sequências virais</t>
  </si>
  <si>
    <t>Específica para vigilância genômica</t>
  </si>
  <si>
    <t>Plataforma global para compartilhamento de dados de vírus com termos específicos de acesso e uso.</t>
  </si>
  <si>
    <t>Compartilhamento de sequências virais por laboratórios de saúde pública e monitoramento internacional de variantes.</t>
  </si>
  <si>
    <t>Sequências; metadados; downloads controlados; painéis e integrações externas</t>
  </si>
  <si>
    <t>Laboratórios, vigilância genômica, pesquisadores e autoridades de saúde pública</t>
  </si>
  <si>
    <t>Fundamental para compartilhamento internacional de dados genômicos e alimentação de análises filogenéticas.</t>
  </si>
  <si>
    <t>https://www.google.com/s2/favicons?domain=gisaid.org&amp;sz=64</t>
  </si>
  <si>
    <t>Referência específica para compartilhamento e visualização de vigilância genômica de patógenos.</t>
  </si>
  <si>
    <t>Plataforma de visualização genômica</t>
  </si>
  <si>
    <t>Comunicação de variantes, linhagens, transmissão e evolução de patógenos como SARS-CoV-2 e influenza.</t>
  </si>
  <si>
    <t>Árvores filogenéticas; mapas; timelines; narrativas; visualizações interativas</t>
  </si>
  <si>
    <t>Epidemiologistas, virologistas, laboratórios, autoridades de saúde pública e pesquisadores</t>
  </si>
  <si>
    <t>Excelente para comunicar vigilância genômica e compartilhar análises filogenéticas interpretáveis.</t>
  </si>
  <si>
    <t>Depende da qualidade dos metadados, amostragem representativa e interpretação cuidadosa de viés de sequenciamento.</t>
  </si>
  <si>
    <t>https://www.google.com/s2/favicons?domain=nextstrain.org&amp;sz=64</t>
  </si>
  <si>
    <t>Muito difundido para código, documentação, releases, dados pequenos e colaboração; frequente em projetos abertos de ciência de dados em saúde.</t>
  </si>
  <si>
    <t>Plataforma de repositórios Git e colaboração</t>
  </si>
  <si>
    <t>Genérica</t>
  </si>
  <si>
    <t>Alto para código e reprodutibilidade</t>
  </si>
  <si>
    <t>Compartilhamento de código, dashboards, pacotes, notebooks e bases abertas em projetos epidemiológicos e de COVID-19.</t>
  </si>
  <si>
    <t>Repositórios; releases; documentação; GitHub Pages; GitHub Actions; arquivos CSV/JSON; notebooks</t>
  </si>
  <si>
    <t>Desenvolvedores, cientistas de dados, pesquisadores, equipes técnicas e comunidade aberta</t>
  </si>
  <si>
    <t>Excelente para versionar scripts, pipelines, pacotes, modelos, documentação e materiais reprodutíveis.</t>
  </si>
  <si>
    <t>Risco alto de vazamento acidental de dados sensíveis; usar .gitignore, secrets, revisão e políticas de publicação.</t>
  </si>
  <si>
    <t>https://github.com/</t>
  </si>
  <si>
    <t>https://www.google.com/s2/favicons?domain=github.com&amp;sz=64</t>
  </si>
  <si>
    <t>Referência em portais institucionais de dados abertos; muito apropriado para catálogos, metadados, APIs e publicação de datasets.</t>
  </si>
  <si>
    <t>Catálogo/portal de dados abertos</t>
  </si>
  <si>
    <t>Genérica, muito usada por governos</t>
  </si>
  <si>
    <t>Alto para dados abertos</t>
  </si>
  <si>
    <t>Portais oficiais de dados abertos, catálogos de bases de saúde, publicação de CSV/JSON/XML e metadados de datasets epidemiológicos.</t>
  </si>
  <si>
    <t>Datasets; APIs; CSV; JSON; XML; metadados; downloads; previews</t>
  </si>
  <si>
    <t>Pesquisadores, gestores, sociedade, desenvolvedores e órgãos públicos</t>
  </si>
  <si>
    <t>Excelente para organizar e compartilhar dados abertos de vigilância, dicionários, séries agregadas, recursos e metadados.</t>
  </si>
  <si>
    <t>Não publicar microdados sensíveis sem anonimização/agregação; requer governança de metadados, versionamento e atualização.</t>
  </si>
  <si>
    <t>https://www.google.com/s2/favicons?domain=ckan.org&amp;sz=64</t>
  </si>
  <si>
    <t>Plataforma comercial muito usada em portais governamentais de dados abertos, incluindo dados de saúde pública.</t>
  </si>
  <si>
    <t>Plataforma de dados abertos e visualização</t>
  </si>
  <si>
    <t>Paga/comercial para publicação; acesso público aos portais pode ser gratuito</t>
  </si>
  <si>
    <t>Genérica, usada por portais institucionais de saúde pública</t>
  </si>
  <si>
    <t>Alto em portais institucionais</t>
  </si>
  <si>
    <t>Data.CDC.gov para publicação, filtro e visualização de datasets de saúde pública.</t>
  </si>
  <si>
    <t>Datasets; APIs; gráficos; mapas; downloads; visualizações públicas</t>
  </si>
  <si>
    <t>Sociedade, pesquisadores, desenvolvedores e gestores</t>
  </si>
  <si>
    <t>Boa para transparência pública, reutilização programática de dados, painéis simples e catálogos oficiais.</t>
  </si>
  <si>
    <t>Avaliar contrato, residência de dados, segurança, permissões, licenças e risco de divulgação de pequenos números.</t>
  </si>
  <si>
    <t>https://www.google.com/s2/favicons?domain=dev.socrata.com&amp;sz=64</t>
  </si>
  <si>
    <t>Muito relevante em bioinformática e vigilância laboratorial/genômica, com workflows executáveis no navegador.</t>
  </si>
  <si>
    <t>Plataforma web de análise bioinformática</t>
  </si>
  <si>
    <t>Específica/fortemente aderente à vigilância laboratorial e genômica</t>
  </si>
  <si>
    <t>WGS, análise de patógenos, microbiologia, vigilância genômica e workflows reprodutíveis em laboratórios de saúde pública.</t>
  </si>
  <si>
    <t>Workflows; histories; datasets; ferramentas executáveis; relatórios de análise</t>
  </si>
  <si>
    <t>Laboratórios, bioinformatas, vigilância genômica e pesquisadores</t>
  </si>
  <si>
    <t>Forte para compartilhar e executar workflows bioinformáticos reprodutíveis em vigilância de patógenos.</t>
  </si>
  <si>
    <t>Dados genômicos e metadados podem ser sensíveis; controlar acesso, amostras e publicação de resultados.</t>
  </si>
  <si>
    <t>https://www.google.com/s2/favicons?domain=usegalaxy.org&amp;sz=64</t>
  </si>
  <si>
    <t>Referência em análise segura de dados sensíveis de saúde, especialmente durante COVID-19, mas acesso e contexto são restritos.</t>
  </si>
  <si>
    <t>Ambiente seguro de análise populacional</t>
  </si>
  <si>
    <t>Específica para análise segura de dados de saúde</t>
  </si>
  <si>
    <t>Plataforma para analisar grandes bases sensíveis de forma segura, transparente e reprodutível, sem acesso direto aos dados brutos.</t>
  </si>
  <si>
    <t>Alto como referência metodológica</t>
  </si>
  <si>
    <t>Estudos populacionais em COVID-19, avaliação de risco, efetividade, segurança e análises de registros eletrônicos de saúde.</t>
  </si>
  <si>
    <t>Código aberto; resultados auditáveis; relatórios; outputs aprovados; análises reprodutíveis</t>
  </si>
  <si>
    <t>Pesquisadores aprovados, instituições de saúde, equipes de dados sensíveis e formuladores de política</t>
  </si>
  <si>
    <t>Modelo de referência para análise reprodutível de dados sensíveis sem extração direta dos microdados.</t>
  </si>
  <si>
    <t>Não é repositório público universal; depende de governança, aprovação e infraestrutura segura.</t>
  </si>
  <si>
    <t>https://www.google.com/s2/favicons?domain=opensafely.org&amp;sz=64</t>
  </si>
  <si>
    <t>Muito usado por comunidade de ciência de dados para datasets, notebooks e competições; relevante para treinamento e dados abertos em saúde.</t>
  </si>
  <si>
    <t>Plataforma pública de datasets, notebooks e modelos</t>
  </si>
  <si>
    <t>Médio/Alto para dados abertos e capacitação</t>
  </si>
  <si>
    <t>Notebooks e datasets de COVID-19, previsão, modelos, ensino e desafios de ciência de dados em saúde.</t>
  </si>
  <si>
    <t>Datasets; notebooks; modelos; discussões; competições; kernels executáveis</t>
  </si>
  <si>
    <t>Cientistas de dados, estudantes, pesquisadores e comunidade técnica</t>
  </si>
  <si>
    <t>Bom para treinamento, prototipagem, estudos com dados abertos, desafios de previsão e notebooks reproduzíveis.</t>
  </si>
  <si>
    <t>Não adequado para microdados sensíveis; usar apenas dados abertos, anonimizados e autorizados.</t>
  </si>
  <si>
    <t>https://www.google.com/s2/favicons?domain=kaggle.com&amp;sz=64</t>
  </si>
  <si>
    <t>Plataforma especializada em integração, análise e disseminação de dados epidemiológicos, mas com adoção mais nichada.</t>
  </si>
  <si>
    <t>Plataforma open source de dados epidemiológicos</t>
  </si>
  <si>
    <t>Específica para vigilância epidemiológica</t>
  </si>
  <si>
    <t>Integração de dados epidemiológicos, dashboards, APIs, relatórios automatizados e apoio à decisão em saúde pública.</t>
  </si>
  <si>
    <t>Dashboards; APIs; apps; relatórios; banco de dados; análises automatizadas</t>
  </si>
  <si>
    <t>Vigilância epidemiológica, pesquisadores, gestores e cientistas de dados em saúde pública</t>
  </si>
  <si>
    <t>Muito promissor para análise epidemiológica contínua e integração entre dados abertos e ambientes analíticos.</t>
  </si>
  <si>
    <t>Projeto especializado e em evolução; requer equipe técnica para implantação, segurança e manutenção.</t>
  </si>
  <si>
    <t>https://www.google.com/s2/favicons?domain=jmir.org&amp;sz=64</t>
  </si>
  <si>
    <t>Plataforma robusta para repositórios institucionais de dados de pesquisa, com metadados, DOI e controle de acesso.</t>
  </si>
  <si>
    <t>Plataforma de repositório de dados de pesquisa</t>
  </si>
  <si>
    <t>Plataforma para compartilhar, arquivar, citar, acessar e explorar dados de pesquisa.</t>
  </si>
  <si>
    <t>Publicação de datasets de pesquisa, documentação, variáveis derivadas, dados agregados e materiais de replicação em saúde coletiva.</t>
  </si>
  <si>
    <t>Datasets; DOI; metadados; arquivos; repositórios institucionais; controle de acesso</t>
  </si>
  <si>
    <t>Pesquisadores, instituições, revistas, bibliotecas e repositórios institucionais</t>
  </si>
  <si>
    <t>Adequado para dados de pesquisa epidemiológica, determinantes sociais e materiais de replicação com governança acadêmica.</t>
  </si>
  <si>
    <t>Verificar política da instância, limites, licenças, controle de acesso e adequação para dados sensíveis.</t>
  </si>
  <si>
    <t>https://www.google.com/s2/favicons?domain=dataverse.org&amp;sz=64</t>
  </si>
  <si>
    <t>Repositório generalista muito usado para artefatos de pesquisa citáveis, com DOI e versionamento de registros.</t>
  </si>
  <si>
    <t>Repositório de dados, software e artefatos de pesquisa</t>
  </si>
  <si>
    <t>Arquivamento de datasets agregados, scripts, notebooks, dicionários, relatórios e versões reprodutíveis de estudos epidemiológicos.</t>
  </si>
  <si>
    <t>Arquivos; datasets; DOI; metadados; software; relatórios; comunidades</t>
  </si>
  <si>
    <t>Pesquisadores, revistas, financiadores, instituições e comunidade científica</t>
  </si>
  <si>
    <t>Muito útil para tornar datasets e códigos citáveis e reutilizáveis em estudos epidemiológicos com dados abertos ou derivados.</t>
  </si>
  <si>
    <t>Não publicar dados sensíveis ou potencialmente reidentificáveis; usar licenças e metadados claros.</t>
  </si>
  <si>
    <t>https://www.google.com/s2/favicons?domain=zenodo.org&amp;sz=64</t>
  </si>
  <si>
    <t>Plataforma biomédica cloud para colaboração segura, workflows e dados de grande escala, especialmente genômica e dados biomédicos.</t>
  </si>
  <si>
    <t>Plataforma cloud de workspaces e workflows biomédicos</t>
  </si>
  <si>
    <t>Plataforma de nuvem; custos de computação/armazenamento variam conforme uso</t>
  </si>
  <si>
    <t>Específica/fortemente aderente a pesquisa biomédica e genômica</t>
  </si>
  <si>
    <t>Workspaces; notebooks; workflows; tabelas de dados; resultados de análise</t>
  </si>
  <si>
    <t>Pesquisadores biomédicos, bioinformatas, consórcios e instituições com dados sensíveis</t>
  </si>
  <si>
    <t>Adequada para análises escaláveis e colaborativas com dados biomédicos e genômicos sob governança.</t>
  </si>
  <si>
    <t>Custo e governança são centrais; requer controle de acesso, auditoria e conformidade com regras de dados sensíveis.</t>
  </si>
  <si>
    <t>https://www.google.com/s2/favicons?domain=terra.bio&amp;sz=64</t>
  </si>
  <si>
    <t>Muito usado para notebooks executáveis e prototipagem, mas não é repositório de longo prazo nem específico de saúde pública.</t>
  </si>
  <si>
    <t>Serviço de notebooks executáveis</t>
  </si>
  <si>
    <t>Prototipagem de limpeza, indicadores, visualizações, modelos e tutoriais reprodutíveis com dados abertos.</t>
  </si>
  <si>
    <t>Notebooks; links compartilháveis; código Python; gráficos; conexão com Drive/APIs</t>
  </si>
  <si>
    <t>Pesquisadores, estudantes, analistas e cientistas de dados</t>
  </si>
  <si>
    <t>Útil para capacitação e demonstração de análises epidemiológicas reprodutíveis com dados públicos.</t>
  </si>
  <si>
    <t>Não usar com dados sensíveis sem avaliação institucional; sessões são temporárias e dependem das políticas do serviço.</t>
  </si>
  <si>
    <t>https://www.google.com/s2/favicons?domain=research.google.com&amp;sz=64</t>
  </si>
  <si>
    <t>Repositório conhecido para materiais suplementares, figuras, datasets e DOI, com uso acadêmico amplo.</t>
  </si>
  <si>
    <t>Repositório de dados e artefatos de pesquisa</t>
  </si>
  <si>
    <t>Dados suplementares e resultados de pesquisa em áreas biomédicas e de saúde.</t>
  </si>
  <si>
    <t>Datasets; figuras; arquivos; DOI; materiais suplementares; previews</t>
  </si>
  <si>
    <t>Pesquisadores, editoras, instituições e revistas</t>
  </si>
  <si>
    <t>Útil para compartilhar dados agregados, materiais suplementares, gráficos, notebooks exportados e scripts.</t>
  </si>
  <si>
    <t>https://www.google.com/s2/favicons?domain=figshare.com&amp;sz=64</t>
  </si>
  <si>
    <t>Muito popular em IA para modelos, datasets e demos; útil em saúde pública com dados abertos, mas ainda complementar em VE institucional.</t>
  </si>
  <si>
    <t>Hub de modelos, datasets e apps</t>
  </si>
  <si>
    <t>NLP em saúde pública, modelos de classificação de textos, dashboards demonstrativos, datasets sintéticos e publicação de modelos com dados abertos.</t>
  </si>
  <si>
    <t>Model cards; dataset cards; Spaces; apps; modelos; APIs do Hub</t>
  </si>
  <si>
    <t>Pesquisadores, cientistas de dados, comunidade IA, desenvolvedores e equipes técnicas</t>
  </si>
  <si>
    <t>Útil para publicar modelos, demos e datasets sintéticos ou abertos aplicados a vigilância e comunicação em saúde.</t>
  </si>
  <si>
    <t>Não publicar dados sensíveis; documentar limitações, viés, dados de treino e usos inadequados.</t>
  </si>
  <si>
    <t>https://www.google.com/s2/favicons?domain=huggingface.co&amp;sz=64</t>
  </si>
  <si>
    <t>Plataforma forte para organizar projetos, protocolos, dados e materiais de pesquisa aberta.</t>
  </si>
  <si>
    <t>Plataforma de projetos e ciência aberta</t>
  </si>
  <si>
    <t>Protocolos, materiais suplementares, pré-registros, análises reprodutíveis e projetos colaborativos em saúde pública.</t>
  </si>
  <si>
    <t>Projetos; arquivos; protocolos; links; registros; preprints; documentação</t>
  </si>
  <si>
    <t>Pesquisadores, grupos acadêmicos, equipes colaborativas e ciência aberta</t>
  </si>
  <si>
    <t>Bom para organizar projetos de análise epidemiológica, protocolos, dados derivados, documentos e scripts.</t>
  </si>
  <si>
    <t>https://www.google.com/s2/favicons?domain=cos.io&amp;sz=64</t>
  </si>
  <si>
    <t>Relevante para ciências sociais, comportamentais e saúde; útil em determinantes sociais e inquéritos.</t>
  </si>
  <si>
    <t>Repositório de dados sociais e de saúde</t>
  </si>
  <si>
    <t>Genérica, com aderência a saúde pública e ciências sociais</t>
  </si>
  <si>
    <t>Estudos de determinantes sociais, comportamento, inquéritos, políticas públicas e saúde coletiva.</t>
  </si>
  <si>
    <t>Datasets; documentação; DOI; materiais de replicação; arquivos estatísticos</t>
  </si>
  <si>
    <t>Pesquisadores sociais, saúde pública, políticas públicas e instituições acadêmicas</t>
  </si>
  <si>
    <t>Bom para bases de inquéritos, dados agregados, replicações e estudos de determinantes sociais em VE.</t>
  </si>
  <si>
    <t>Preparar documentação para interpretação independente; atenção a consentimento, CEP/IRB e privacidade.</t>
  </si>
  <si>
    <t>https://www.google.com/s2/favicons?domain=openicpsr.org&amp;sz=64</t>
  </si>
  <si>
    <t>Especializada em compartilhamento controlado de dados clínicos e ensaios; relevante para evidências em vacinas e terapias.</t>
  </si>
  <si>
    <t>Plataforma de dados de ensaios clínicos</t>
  </si>
  <si>
    <t>Específica para pesquisa clínica</t>
  </si>
  <si>
    <t>Catálogo de estudos; ambiente analítico controlado; datasets aprovados; documentação</t>
  </si>
  <si>
    <t>Pesquisadores clínicos, revisores, instituições e parceiros regulatórios</t>
  </si>
  <si>
    <t>Relevante para evidências clínicas que informam políticas de saúde pública e vigilância de intervenções.</t>
  </si>
  <si>
    <t>Processo de solicitação, termos de uso e análise em ambiente controlado; não é portal aberto para vigilância rotineira.</t>
  </si>
  <si>
    <t>https://www.google.com/s2/favicons?domain=vivli.org&amp;sz=64</t>
  </si>
  <si>
    <t>Relevante para reprodutibilidade computacional, transformando repositórios em ambientes executáveis.</t>
  </si>
  <si>
    <t>Ambiente executável a partir de repositórios Git</t>
  </si>
  <si>
    <t>Publicação de análises reprodutíveis e tutoriais de epidemiologia com dados abertos.</t>
  </si>
  <si>
    <t>Notebooks executáveis; ambientes temporários; links reprodutíveis; integração Git</t>
  </si>
  <si>
    <t>Pesquisadores, educadores, cientistas de dados e revisores</t>
  </si>
  <si>
    <t>Útil para reproduzir análises de artigos, oficinas, tutoriais e pipelines leves usando dados abertos ou sintéticos.</t>
  </si>
  <si>
    <t>https://www.google.com/s2/favicons?domain=jupyter.org&amp;sz=64</t>
  </si>
  <si>
    <t>Repositório curado para dados subjacentes a publicações científicas, relevante em biomédicas, ecologia e saúde.</t>
  </si>
  <si>
    <t>Repositório curado de dados de pesquisa</t>
  </si>
  <si>
    <t>Acesso público gratuito; depósito pode envolver taxa ou cobertura por instituição/revista</t>
  </si>
  <si>
    <t>Dados de estudos biomédicos, ecológicos, saúde pública, vetores e determinantes associados a publicações.</t>
  </si>
  <si>
    <t>Datasets; DOI; metadados; materiais de replicação; arquivos suplementares</t>
  </si>
  <si>
    <t>Pesquisadores, revistas, editoras e financiadores</t>
  </si>
  <si>
    <t>Adequado para publicar datasets agregados e materiais de replicação de estudos de vigilância e ecologia de doenças.</t>
  </si>
  <si>
    <t>https://www.google.com/s2/favicons?domain=datadryad.org&amp;sz=64</t>
  </si>
  <si>
    <t>Repositório de datasets com DOI e versionamento, associado ao ecossistema editorial Elsevier.</t>
  </si>
  <si>
    <t>Repositório de dados de pesquisa</t>
  </si>
  <si>
    <t>Dados suplementares e datasets de artigos, incluindo áreas biomédicas e de saúde.</t>
  </si>
  <si>
    <t>Datasets; DOI; metadados; versões; arquivos</t>
  </si>
  <si>
    <t>Pesquisadores, autores, revistas e comunidade acadêmica</t>
  </si>
  <si>
    <t>Útil para publicar dados derivados e materiais de apoio de estudos epidemiológicos com DOI.</t>
  </si>
  <si>
    <t>https://www.google.com/s2/favicons?domain=data.mendeley.com&amp;sz=64</t>
  </si>
  <si>
    <t>Útil para capacitação, projetos R/Python e compartilhamento de análises, mas não é repositório público de longo prazo.</t>
  </si>
  <si>
    <t>Ambiente cloud para RStudio/Jupyter</t>
  </si>
  <si>
    <t>Capacitação de equipes de vigilância que usam R, Shiny, Quarto e notebooks.</t>
  </si>
  <si>
    <t>Projetos; notebooks; scripts; apps; relatórios; ambientes executáveis</t>
  </si>
  <si>
    <t>Educadores, analistas, epidemiologistas, cientistas de dados e estudantes</t>
  </si>
  <si>
    <t>Bom para oficinas, protótipos, análises reprodutíveis e compartilhamento controlado de projetos analíticos.</t>
  </si>
  <si>
    <t>https://posit.cloud/</t>
  </si>
  <si>
    <t>https://www.google.com/s2/favicons?domain=posit.cloud&amp;sz=64</t>
  </si>
  <si>
    <t>Forte para cápsulas computacionais reprodutíveis associadas a publicações, mas com adoção mais especializada.</t>
  </si>
  <si>
    <t>Plataforma de cápsulas computacionais</t>
  </si>
  <si>
    <t>Comercial/institucional; integrações com editoras podem permitir uso sem custo em alguns fluxos</t>
  </si>
  <si>
    <t>Artigos computacionais, modelos epidemiológicos, simulações, nowcasting e análises estatísticas reprodutíveis.</t>
  </si>
  <si>
    <t>Cápsulas; ambientes executáveis; DOI/links; dados; código; resultados</t>
  </si>
  <si>
    <t>Pesquisadores, revistas, revisores e equipes de ciência aberta</t>
  </si>
  <si>
    <t>Boa opção para publicar análises computacionais executáveis e citáveis em estudos epidemiológicos.</t>
  </si>
  <si>
    <t>https://www.google.com/s2/favicons?domain=innovate.ieee.org&amp;sz=64</t>
  </si>
  <si>
    <t>Repositório técnico de datasets, mais relevante para engenharia, computação e IA aplicada à saúde do que para VE rotineira.</t>
  </si>
  <si>
    <t>Plataforma de datasets técnicos</t>
  </si>
  <si>
    <t>Dados computacionais, sensores, IA, modelagem e artigos técnicos aplicados à saúde.</t>
  </si>
  <si>
    <t>Datasets; DOI; arquivos; metadados; materiais técnicos</t>
  </si>
  <si>
    <t>Pesquisadores de engenharia, computação, IA e áreas correlatas</t>
  </si>
  <si>
    <t>Pode apoiar compartilhamento de datasets técnicos, imagens, sensores e modelos aplicados à saúde.</t>
  </si>
  <si>
    <t>quando_usar</t>
  </si>
  <si>
    <t>principais_entregaveis</t>
  </si>
  <si>
    <t>cuidados</t>
  </si>
  <si>
    <t>Portal público de dados abertos</t>
  </si>
  <si>
    <t>CKAN; Socrata / Tyler Data &amp; Insights; ArcGIS Hub</t>
  </si>
  <si>
    <t>Quando a prioridade é transparência, reutilização, publicação de datasets, metadados, APIs e arquivos públicos.</t>
  </si>
  <si>
    <t>Catálogo de datasets; páginas de metadados; APIs; downloads CSV/JSON/XML/GeoJSON; visualizações públicas.</t>
  </si>
  <si>
    <t>Publicar apenas dados abertos, agregados ou anonimizados; incluir dicionário de dados, periodicidade, licença e controle de pequenos números.</t>
  </si>
  <si>
    <t>Compartilhamento institucional de indicadores de saúde</t>
  </si>
  <si>
    <t>DHIS2; ArcGIS Hub; CKAN; Socrata</t>
  </si>
  <si>
    <t>Quando a instituição precisa compartilhar indicadores, séries, mapas e produtos de rotina com níveis de acesso e governança.</t>
  </si>
  <si>
    <t>Dashboards; mapas; relatórios; tabelas agregadas; APIs; indicadores por território/programa.</t>
  </si>
  <si>
    <t>Padronizar metadados, hierarquia territorial, regras de cálculo e responsáveis por atualização.</t>
  </si>
  <si>
    <t>Repositório acadêmico com DOI para dados e materiais de pesquisa</t>
  </si>
  <si>
    <t>Zenodo; Harvard Dataverse / Dataverse; Figshare; Dryad; Mendeley Data; openICPSR</t>
  </si>
  <si>
    <t>Quando o objetivo é publicar datasets derivados, materiais suplementares, scripts e documentação associados a artigos, relatórios ou projetos de pesquisa.</t>
  </si>
  <si>
    <t>DOI; datasets citáveis; documentação; arquivos de replicação; versões preservadas.</t>
  </si>
  <si>
    <t>Evitar dados sensíveis ou reidentificáveis; revisar licenças, consentimento, metadados e termos de uso.</t>
  </si>
  <si>
    <t>Reprodutibilidade computacional e execução online</t>
  </si>
  <si>
    <t>Kaggle; Google Colab; Binder / BinderHub; Code Ocean; Posit Cloud; GitHub</t>
  </si>
  <si>
    <t>Quando a finalidade é permitir que terceiros executem notebooks, scripts ou análises demonstrativas com dados abertos/sintéticos.</t>
  </si>
  <si>
    <t>Notebooks executáveis; cápsulas computacionais; ambientes reproduzíveis; tutoriais; códigos versionados.</t>
  </si>
  <si>
    <t>Não usar microdados sensíveis; controlar dependências, versões, limites de computação e estabilidade do ambiente.</t>
  </si>
  <si>
    <t>Compartilhamento de código, pipelines e documentação técnica</t>
  </si>
  <si>
    <t>GitHub; Zenodo; OSF; Binder / BinderHub</t>
  </si>
  <si>
    <t>Quando o produto principal é código, pacote, pipeline, notebook, documentação técnica ou versão reprodutível de uma análise.</t>
  </si>
  <si>
    <t>Repositórios Git; releases; documentação; issues; páginas de projeto; DOI via Zenodo/OSF.</t>
  </si>
  <si>
    <t>Evitar vazamento de secrets e dados restritos; usar revisão de código, .gitignore e políticas de publicação.</t>
  </si>
  <si>
    <t>GISAID; Nextstrain; Galaxy; Terra.bio</t>
  </si>
  <si>
    <t>Quando o foco é compartilhar, analisar ou comunicar sequências, linhagens, variantes e fluxos laboratoriais/genômicos.</t>
  </si>
  <si>
    <t>Sequências; metadados; árvores filogenéticas; workflows; visualizações interativas; relatórios genômicos.</t>
  </si>
  <si>
    <t>Respeitar termos de uso, crédito a depositantes, proteção de metadados sensíveis e viés de amostragem.</t>
  </si>
  <si>
    <t>Bioinformática e workflows laboratoriais reprodutíveis</t>
  </si>
  <si>
    <t>Galaxy; Terra.bio; GitHub; Code Ocean</t>
  </si>
  <si>
    <t>Quando a necessidade é executar e compartilhar pipelines de análise laboratorial, WGS, patógenos ou workflows biomédicos.</t>
  </si>
  <si>
    <t>Workflows; histories; notebooks; tabelas de amostras; resultados; ambientes de execução.</t>
  </si>
  <si>
    <t>Definir controle de acesso, rastreabilidade, versionamento, custo computacional e governança de amostras/metadados.</t>
  </si>
  <si>
    <t>Compartilhamento seguro de dados sensíveis ou controlados</t>
  </si>
  <si>
    <t>OpenSAFELY; Vivli; Terra.bio; Dataverse com acesso controlado</t>
  </si>
  <si>
    <t>Quando os dados não podem ser baixados livremente e a análise precisa ocorrer em ambiente controlado, auditável ou mediante aprovação.</t>
  </si>
  <si>
    <t>Ambientes seguros; outputs aprovados; catálogos de acesso restrito; análises reprodutíveis sem exposição direta dos microdados.</t>
  </si>
  <si>
    <t>Exigir base legal, aprovação ética, controle de acesso, logs, minimização, revisão de outputs e acordos de uso.</t>
  </si>
  <si>
    <t>Projetos colaborativos, protocolos e ciência aberta</t>
  </si>
  <si>
    <t>Open Science Framework (OSF); GitHub; Zenodo; Dataverse</t>
  </si>
  <si>
    <t>Quando a equipe precisa organizar protocolos, pré-registros, documentos, dados derivados, scripts e materiais de colaboração.</t>
  </si>
  <si>
    <t>Projetos; pastas; registros; preprints; protocolos; documentação; links e versões.</t>
  </si>
  <si>
    <t>Separar componentes públicos e privados; revisar permissões antes de publicar e padronizar nomenclatura/metadados.</t>
  </si>
  <si>
    <t>Demos de modelos, IA e aplicações interativas com dados abertos</t>
  </si>
  <si>
    <t>Hugging Face Hub / Spaces; Kaggle; Streamlit via Spaces; GitHub</t>
  </si>
  <si>
    <t>Quando a intenção é demonstrar modelos, classificadores, dashboards ou protótipos interativos para a comunidade técnica.</t>
  </si>
  <si>
    <t>Model cards; dataset cards; demos; apps; modelos; notebooks; APIs de exemplo.</t>
  </si>
  <si>
    <t>Não publicar dados sensíveis; documentar vieses, limitações, escopo de uso, dados de treino e riscos de uso inadequado.</t>
  </si>
  <si>
    <t>Repositórios técnicos e dados de sensores/IA aplicada à saúde</t>
  </si>
  <si>
    <t>IEEE DataPort; Hugging Face Hub; GitHub; Zenodo</t>
  </si>
  <si>
    <t>Quando os dados são mais técnicos, computacionais ou ligados a IA, sensores, imagens ou benchmarks.</t>
  </si>
  <si>
    <t>Datasets técnicos; modelos; código; documentação; DOI; materiais de benchmark.</t>
  </si>
  <si>
    <t>Avaliar licenças, custo de acesso, formatos, documentação suficiente e possibilidade real de reutilização.</t>
  </si>
  <si>
    <t>ferramentas_sugeridas</t>
  </si>
  <si>
    <t>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</si>
</sst>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/>
    </xf>
    <xf numFmtId="1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34"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0F2FE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9001F1-DF7A-4549-A316-846DD0B15112}" name="PlataformasCompartilhamentoRankings" displayName="PlataformasCompartilhamentoRankings" ref="A1:Z27" headerRowDxfId="2" dataDxfId="0" totalsRowDxfId="1">
  <tableColumns count="26">
    <tableColumn id="1" xr3:uid="{63AADA3B-C912-41E6-8CBB-F70181F97A28}" name="rank_balanceado" dataDxfId="28"/>
    <tableColumn id="2" xr3:uid="{11867B98-3761-47E3-BD96-79850C6BD939}" name="rank_popularidade_geral" dataDxfId="27"/>
    <tableColumn id="3" xr3:uid="{91A2317E-4D1F-4E40-8EEF-E5703A41C7E8}" name="rank_uso_institucional_ve" dataDxfId="26"/>
    <tableColumn id="4" xr3:uid="{DB6CA996-1E0E-4722-8DA6-F7760BC6770B}" name="rank_especificidade_ve" dataDxfId="25"/>
    <tableColumn id="5" xr3:uid="{07BCC9B0-4E8D-49F9-B7E4-310751C74B96}" name="rank_adequacao_informes" dataDxfId="24"/>
    <tableColumn id="6" xr3:uid="{31FFF36D-6686-4943-9C4B-B0D9179C74B1}" name="score_balanceado" dataDxfId="23">
      <calculatedColumnFormula>ROUND(0.35*G2+0.35*H2+0.2*I2+0.1*J2,2)</calculatedColumnFormula>
    </tableColumn>
    <tableColumn id="7" xr3:uid="{4BD1F50A-EDDE-45F5-97A0-4D30D18E2D33}" name="popularidade_geral_1a5" dataDxfId="22"/>
    <tableColumn id="8" xr3:uid="{0C6DC06F-B32C-4C36-9356-260658584B99}" name="uso_institucional_ve_1a5" dataDxfId="21"/>
    <tableColumn id="9" xr3:uid="{0C21A6D4-3E12-4FC7-BE2B-7E3AED7FFD80}" name="especificidade_ve_1a5" dataDxfId="20"/>
    <tableColumn id="10" xr3:uid="{1B9EE788-32B5-4D85-9C7C-F3D05B136E84}" name="adequacao_informes_1a5" dataDxfId="19"/>
    <tableColumn id="11" xr3:uid="{65EC6906-578B-4276-9500-F618205549FD}" name="nota_criterio_ranking" dataDxfId="18"/>
    <tableColumn id="12" xr3:uid="{F97026C8-97A3-4E29-B555-95931FF73865}" name="categoria" dataDxfId="17"/>
    <tableColumn id="13" xr3:uid="{C85FFB01-E36D-4CA9-9EB6-85F5D7766AD8}" name="ferramenta" dataDxfId="16"/>
    <tableColumn id="14" xr3:uid="{B043293A-9434-48DA-9BF8-FDC66EEE5922}" name="tipo" dataDxfId="15"/>
    <tableColumn id="15" xr3:uid="{F5D83C1F-EB6B-4101-A71D-875A2233C365}" name="gratuita_ou_paga" dataDxfId="14"/>
    <tableColumn id="16" xr3:uid="{A6EF7EF7-2593-4F5E-8D98-C9B5AE35D86B}" name="generica_ou_especifica_ve" dataDxfId="13"/>
    <tableColumn id="17" xr3:uid="{FB07556F-85F4-437B-92DE-7405282F815E}" name="escopo" dataDxfId="12"/>
    <tableColumn id="18" xr3:uid="{B0B506BA-C006-4636-81B2-63722AD25A0D}" name="conteudo_principal" dataDxfId="11"/>
    <tableColumn id="19" xr3:uid="{8FF35C45-B7CD-47A9-A216-0F29F39C7039}" name="uso_no_contexto_ve" dataDxfId="10"/>
    <tableColumn id="20" xr3:uid="{BA8406AC-385F-4E75-91F8-7507A6BB890C}" name="casos_de_aplicacao_na_area" dataDxfId="9"/>
    <tableColumn id="21" xr3:uid="{AF23D0D7-9C72-4F7E-B825-D42080CE0FE1}" name="formatos_de_divulgacao" dataDxfId="8"/>
    <tableColumn id="22" xr3:uid="{60A6E8FF-F157-4EF9-AA11-0E811C61916E}" name="publico_alvo" dataDxfId="7"/>
    <tableColumn id="23" xr3:uid="{09110448-1C04-4EC9-80AB-A5326F174CFC}" name="potencial_para_ve_e_ciencia_de_dados" dataDxfId="6"/>
    <tableColumn id="24" xr3:uid="{0636CB49-D1D7-48C6-AB55-53A52FBB2DA4}" name="cuidados_observacoes" dataDxfId="5"/>
    <tableColumn id="25" xr3:uid="{67B4CBCD-0B1D-4E2B-8B0E-DE1BBA415845}" name="fonte" dataDxfId="4"/>
    <tableColumn id="26" xr3:uid="{F8ABD523-8E12-4BEB-A1C1-11D3B4D4229B}" name="thumbnail_url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79CD72-BAE6-414E-99F5-CA4924BD4E46}" name="SugestaoPorProduto" displayName="SugestaoPorProduto" ref="A1:E12">
  <tableColumns count="5">
    <tableColumn id="1" xr3:uid="{21B68DB0-5686-49E3-A98F-AAC38FF8ACD6}" name="cenario"/>
    <tableColumn id="2" xr3:uid="{AE425B1F-BE2E-4DF6-ADEC-0822143C692D}" name="ferramentas_sugeridas"/>
    <tableColumn id="3" xr3:uid="{E03FCF9D-B718-4ECE-8906-0A0E88B4FBAA}" name="quando_usar"/>
    <tableColumn id="4" xr3:uid="{BF53E553-B93F-4BBC-B513-E330F8CD028C}" name="principais_entregaveis"/>
    <tableColumn id="5" xr3:uid="{63088B8C-022E-47E6-B7BF-C56224DC50A4}" name="cuidad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oGeral" displayName="ResumoGeral" ref="A1:B10">
  <tableColumns count="2">
    <tableColumn id="1" xr3:uid="{00000000-0010-0000-0100-000001000000}" name="Resumo"/>
    <tableColumn id="2" xr3:uid="{00000000-0010-0000-0100-000002000000}" name="Val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moCategorias" displayName="ResumoCategorias" ref="D1:E20">
  <tableColumns count="2">
    <tableColumn id="1" xr3:uid="{00000000-0010-0000-0200-000001000000}" name="Categoria"/>
    <tableColumn id="2" xr3:uid="{00000000-0010-0000-0200-000002000000}" name="Quant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workbookViewId="0">
      <selection activeCell="B9" sqref="B9"/>
    </sheetView>
  </sheetViews>
  <sheetFormatPr defaultRowHeight="13.8"/>
  <cols>
    <col min="1" max="1" width="14.3984375" customWidth="1"/>
    <col min="2" max="2" width="19.69921875" customWidth="1"/>
    <col min="3" max="3" width="21.796875" customWidth="1"/>
    <col min="4" max="4" width="16.59765625" customWidth="1"/>
    <col min="5" max="5" width="13" customWidth="1"/>
    <col min="6" max="6" width="21.5" customWidth="1"/>
    <col min="7" max="7" width="18" customWidth="1"/>
    <col min="8" max="8" width="22" customWidth="1"/>
    <col min="9" max="9" width="9.5" customWidth="1"/>
    <col min="10" max="10" width="14.296875" customWidth="1"/>
    <col min="11" max="11" width="54" customWidth="1"/>
    <col min="12" max="12" width="52" customWidth="1"/>
    <col min="13" max="13" width="48" customWidth="1"/>
  </cols>
  <sheetData>
    <row r="1" spans="1:26">
      <c r="A1" s="5" t="s">
        <v>217</v>
      </c>
      <c r="B1" s="5" t="s">
        <v>218</v>
      </c>
      <c r="C1" s="5" t="s">
        <v>219</v>
      </c>
      <c r="D1" s="5" t="s">
        <v>220</v>
      </c>
      <c r="E1" s="5" t="s">
        <v>221</v>
      </c>
      <c r="F1" s="5" t="s">
        <v>222</v>
      </c>
      <c r="G1" s="5" t="s">
        <v>223</v>
      </c>
      <c r="H1" s="5" t="s">
        <v>224</v>
      </c>
      <c r="I1" s="5" t="s">
        <v>225</v>
      </c>
      <c r="J1" s="5" t="s">
        <v>226</v>
      </c>
      <c r="K1" s="5" t="s">
        <v>227</v>
      </c>
      <c r="L1" s="5" t="s">
        <v>0</v>
      </c>
      <c r="M1" s="5" t="s">
        <v>228</v>
      </c>
      <c r="N1" s="5" t="s">
        <v>229</v>
      </c>
      <c r="O1" s="5" t="s">
        <v>230</v>
      </c>
      <c r="P1" s="5" t="s">
        <v>231</v>
      </c>
      <c r="Q1" s="5" t="s">
        <v>2</v>
      </c>
      <c r="R1" s="5" t="s">
        <v>3</v>
      </c>
      <c r="S1" s="5" t="s">
        <v>4</v>
      </c>
      <c r="T1" s="5" t="s">
        <v>232</v>
      </c>
      <c r="U1" s="5" t="s">
        <v>233</v>
      </c>
      <c r="V1" s="5" t="s">
        <v>234</v>
      </c>
      <c r="W1" s="5" t="s">
        <v>5</v>
      </c>
      <c r="X1" s="5" t="s">
        <v>6</v>
      </c>
      <c r="Y1" s="5" t="s">
        <v>7</v>
      </c>
      <c r="Z1" s="5" t="s">
        <v>235</v>
      </c>
    </row>
    <row r="2" spans="1:26">
      <c r="A2" s="6">
        <v>1</v>
      </c>
      <c r="B2" s="6">
        <v>12</v>
      </c>
      <c r="C2" s="6">
        <v>1</v>
      </c>
      <c r="D2" s="6">
        <v>1</v>
      </c>
      <c r="E2" s="6">
        <v>1</v>
      </c>
      <c r="F2" s="7">
        <f t="shared" ref="F2:F27" si="0">ROUND(0.35*G2+0.35*H2+0.2*I2+0.1*J2,2)</f>
        <v>4.3</v>
      </c>
      <c r="G2" s="6">
        <v>3</v>
      </c>
      <c r="H2" s="6">
        <v>5</v>
      </c>
      <c r="I2" s="6">
        <v>5</v>
      </c>
      <c r="J2" s="6">
        <v>5</v>
      </c>
      <c r="K2" s="8" t="s">
        <v>236</v>
      </c>
      <c r="L2" s="8" t="s">
        <v>28</v>
      </c>
      <c r="M2" s="8" t="s">
        <v>29</v>
      </c>
      <c r="N2" s="8" t="s">
        <v>237</v>
      </c>
      <c r="O2" s="8" t="s">
        <v>30</v>
      </c>
      <c r="P2" s="8" t="s">
        <v>238</v>
      </c>
      <c r="Q2" s="8" t="s">
        <v>31</v>
      </c>
      <c r="R2" s="8" t="s">
        <v>32</v>
      </c>
      <c r="S2" s="8" t="s">
        <v>13</v>
      </c>
      <c r="T2" s="8" t="s">
        <v>239</v>
      </c>
      <c r="U2" s="8" t="s">
        <v>240</v>
      </c>
      <c r="V2" s="8" t="s">
        <v>241</v>
      </c>
      <c r="W2" s="8" t="s">
        <v>242</v>
      </c>
      <c r="X2" s="8" t="s">
        <v>243</v>
      </c>
      <c r="Y2" s="8" t="s">
        <v>33</v>
      </c>
      <c r="Z2" s="8" t="s">
        <v>244</v>
      </c>
    </row>
    <row r="3" spans="1:26">
      <c r="A3" s="6">
        <v>2</v>
      </c>
      <c r="B3" s="6">
        <v>4</v>
      </c>
      <c r="C3" s="6">
        <v>2</v>
      </c>
      <c r="D3" s="6">
        <v>7</v>
      </c>
      <c r="E3" s="6">
        <v>2</v>
      </c>
      <c r="F3" s="7">
        <f t="shared" si="0"/>
        <v>4.25</v>
      </c>
      <c r="G3" s="6">
        <v>4</v>
      </c>
      <c r="H3" s="6">
        <v>5</v>
      </c>
      <c r="I3" s="6">
        <v>3</v>
      </c>
      <c r="J3" s="6">
        <v>5</v>
      </c>
      <c r="K3" s="8" t="s">
        <v>245</v>
      </c>
      <c r="L3" s="8" t="s">
        <v>21</v>
      </c>
      <c r="M3" s="8" t="s">
        <v>22</v>
      </c>
      <c r="N3" s="8" t="s">
        <v>246</v>
      </c>
      <c r="O3" s="8" t="s">
        <v>247</v>
      </c>
      <c r="P3" s="8" t="s">
        <v>248</v>
      </c>
      <c r="Q3" s="8" t="s">
        <v>24</v>
      </c>
      <c r="R3" s="8" t="s">
        <v>25</v>
      </c>
      <c r="S3" s="8" t="s">
        <v>13</v>
      </c>
      <c r="T3" s="8" t="s">
        <v>249</v>
      </c>
      <c r="U3" s="8" t="s">
        <v>250</v>
      </c>
      <c r="V3" s="8" t="s">
        <v>251</v>
      </c>
      <c r="W3" s="8" t="s">
        <v>252</v>
      </c>
      <c r="X3" s="8" t="s">
        <v>253</v>
      </c>
      <c r="Y3" s="8" t="s">
        <v>27</v>
      </c>
      <c r="Z3" s="8" t="s">
        <v>254</v>
      </c>
    </row>
    <row r="4" spans="1:26">
      <c r="A4" s="6">
        <v>3</v>
      </c>
      <c r="B4" s="6">
        <v>20</v>
      </c>
      <c r="C4" s="6">
        <v>3</v>
      </c>
      <c r="D4" s="6">
        <v>2</v>
      </c>
      <c r="E4" s="6">
        <v>8</v>
      </c>
      <c r="F4" s="7">
        <f t="shared" si="0"/>
        <v>3.85</v>
      </c>
      <c r="G4" s="6">
        <v>2</v>
      </c>
      <c r="H4" s="6">
        <v>5</v>
      </c>
      <c r="I4" s="6">
        <v>5</v>
      </c>
      <c r="J4" s="6">
        <v>4</v>
      </c>
      <c r="K4" s="8" t="s">
        <v>255</v>
      </c>
      <c r="L4" s="8" t="s">
        <v>137</v>
      </c>
      <c r="M4" s="8" t="s">
        <v>138</v>
      </c>
      <c r="N4" s="8" t="s">
        <v>256</v>
      </c>
      <c r="O4" s="8" t="s">
        <v>139</v>
      </c>
      <c r="P4" s="8" t="s">
        <v>257</v>
      </c>
      <c r="Q4" s="8" t="s">
        <v>140</v>
      </c>
      <c r="R4" s="8" t="s">
        <v>258</v>
      </c>
      <c r="S4" s="8" t="s">
        <v>135</v>
      </c>
      <c r="T4" s="8" t="s">
        <v>259</v>
      </c>
      <c r="U4" s="8" t="s">
        <v>260</v>
      </c>
      <c r="V4" s="8" t="s">
        <v>261</v>
      </c>
      <c r="W4" s="8" t="s">
        <v>262</v>
      </c>
      <c r="X4" s="8" t="s">
        <v>141</v>
      </c>
      <c r="Y4" s="8" t="s">
        <v>142</v>
      </c>
      <c r="Z4" s="8" t="s">
        <v>263</v>
      </c>
    </row>
    <row r="5" spans="1:26">
      <c r="A5" s="6">
        <v>4</v>
      </c>
      <c r="B5" s="6">
        <v>21</v>
      </c>
      <c r="C5" s="6">
        <v>4</v>
      </c>
      <c r="D5" s="6">
        <v>3</v>
      </c>
      <c r="E5" s="6">
        <v>9</v>
      </c>
      <c r="F5" s="7">
        <f t="shared" si="0"/>
        <v>3.85</v>
      </c>
      <c r="G5" s="6">
        <v>2</v>
      </c>
      <c r="H5" s="6">
        <v>5</v>
      </c>
      <c r="I5" s="6">
        <v>5</v>
      </c>
      <c r="J5" s="6">
        <v>4</v>
      </c>
      <c r="K5" s="8" t="s">
        <v>264</v>
      </c>
      <c r="L5" s="8" t="s">
        <v>130</v>
      </c>
      <c r="M5" s="8" t="s">
        <v>131</v>
      </c>
      <c r="N5" s="8" t="s">
        <v>265</v>
      </c>
      <c r="O5" s="8" t="s">
        <v>132</v>
      </c>
      <c r="P5" s="8" t="s">
        <v>257</v>
      </c>
      <c r="Q5" s="8" t="s">
        <v>133</v>
      </c>
      <c r="R5" s="8" t="s">
        <v>134</v>
      </c>
      <c r="S5" s="8" t="s">
        <v>135</v>
      </c>
      <c r="T5" s="8" t="s">
        <v>266</v>
      </c>
      <c r="U5" s="8" t="s">
        <v>267</v>
      </c>
      <c r="V5" s="8" t="s">
        <v>268</v>
      </c>
      <c r="W5" s="8" t="s">
        <v>269</v>
      </c>
      <c r="X5" s="8" t="s">
        <v>270</v>
      </c>
      <c r="Y5" s="8" t="s">
        <v>136</v>
      </c>
      <c r="Z5" s="8" t="s">
        <v>271</v>
      </c>
    </row>
    <row r="6" spans="1:26">
      <c r="A6" s="6">
        <v>5</v>
      </c>
      <c r="B6" s="6">
        <v>1</v>
      </c>
      <c r="C6" s="6">
        <v>5</v>
      </c>
      <c r="D6" s="6">
        <v>13</v>
      </c>
      <c r="E6" s="6">
        <v>10</v>
      </c>
      <c r="F6" s="7">
        <f t="shared" si="0"/>
        <v>3.75</v>
      </c>
      <c r="G6" s="6">
        <v>5</v>
      </c>
      <c r="H6" s="6">
        <v>4</v>
      </c>
      <c r="I6" s="6">
        <v>1</v>
      </c>
      <c r="J6" s="6">
        <v>4</v>
      </c>
      <c r="K6" s="8" t="s">
        <v>272</v>
      </c>
      <c r="L6" s="8" t="s">
        <v>78</v>
      </c>
      <c r="M6" s="8" t="s">
        <v>79</v>
      </c>
      <c r="N6" s="8" t="s">
        <v>273</v>
      </c>
      <c r="O6" s="8" t="s">
        <v>80</v>
      </c>
      <c r="P6" s="8" t="s">
        <v>274</v>
      </c>
      <c r="Q6" s="8" t="s">
        <v>81</v>
      </c>
      <c r="R6" s="8" t="s">
        <v>82</v>
      </c>
      <c r="S6" s="8" t="s">
        <v>275</v>
      </c>
      <c r="T6" s="8" t="s">
        <v>276</v>
      </c>
      <c r="U6" s="8" t="s">
        <v>277</v>
      </c>
      <c r="V6" s="8" t="s">
        <v>278</v>
      </c>
      <c r="W6" s="8" t="s">
        <v>279</v>
      </c>
      <c r="X6" s="8" t="s">
        <v>280</v>
      </c>
      <c r="Y6" s="8" t="s">
        <v>281</v>
      </c>
      <c r="Z6" s="8" t="s">
        <v>282</v>
      </c>
    </row>
    <row r="7" spans="1:26">
      <c r="A7" s="6">
        <v>6</v>
      </c>
      <c r="B7" s="6">
        <v>5</v>
      </c>
      <c r="C7" s="6">
        <v>6</v>
      </c>
      <c r="D7" s="6">
        <v>10</v>
      </c>
      <c r="E7" s="6">
        <v>3</v>
      </c>
      <c r="F7" s="7">
        <f t="shared" si="0"/>
        <v>3.7</v>
      </c>
      <c r="G7" s="6">
        <v>4</v>
      </c>
      <c r="H7" s="6">
        <v>4</v>
      </c>
      <c r="I7" s="6">
        <v>2</v>
      </c>
      <c r="J7" s="6">
        <v>5</v>
      </c>
      <c r="K7" s="8" t="s">
        <v>283</v>
      </c>
      <c r="L7" s="8" t="s">
        <v>8</v>
      </c>
      <c r="M7" s="8" t="s">
        <v>9</v>
      </c>
      <c r="N7" s="8" t="s">
        <v>284</v>
      </c>
      <c r="O7" s="8" t="s">
        <v>10</v>
      </c>
      <c r="P7" s="8" t="s">
        <v>285</v>
      </c>
      <c r="Q7" s="8" t="s">
        <v>11</v>
      </c>
      <c r="R7" s="8" t="s">
        <v>12</v>
      </c>
      <c r="S7" s="8" t="s">
        <v>286</v>
      </c>
      <c r="T7" s="8" t="s">
        <v>287</v>
      </c>
      <c r="U7" s="8" t="s">
        <v>288</v>
      </c>
      <c r="V7" s="8" t="s">
        <v>289</v>
      </c>
      <c r="W7" s="8" t="s">
        <v>290</v>
      </c>
      <c r="X7" s="8" t="s">
        <v>291</v>
      </c>
      <c r="Y7" s="8" t="s">
        <v>15</v>
      </c>
      <c r="Z7" s="8" t="s">
        <v>292</v>
      </c>
    </row>
    <row r="8" spans="1:26">
      <c r="A8" s="6">
        <v>7</v>
      </c>
      <c r="B8" s="6">
        <v>6</v>
      </c>
      <c r="C8" s="6">
        <v>7</v>
      </c>
      <c r="D8" s="6">
        <v>11</v>
      </c>
      <c r="E8" s="6">
        <v>4</v>
      </c>
      <c r="F8" s="7">
        <f t="shared" si="0"/>
        <v>3.7</v>
      </c>
      <c r="G8" s="6">
        <v>4</v>
      </c>
      <c r="H8" s="6">
        <v>4</v>
      </c>
      <c r="I8" s="6">
        <v>2</v>
      </c>
      <c r="J8" s="6">
        <v>5</v>
      </c>
      <c r="K8" s="8" t="s">
        <v>293</v>
      </c>
      <c r="L8" s="8" t="s">
        <v>8</v>
      </c>
      <c r="M8" s="8" t="s">
        <v>16</v>
      </c>
      <c r="N8" s="8" t="s">
        <v>294</v>
      </c>
      <c r="O8" s="8" t="s">
        <v>295</v>
      </c>
      <c r="P8" s="8" t="s">
        <v>296</v>
      </c>
      <c r="Q8" s="8" t="s">
        <v>18</v>
      </c>
      <c r="R8" s="8" t="s">
        <v>19</v>
      </c>
      <c r="S8" s="8" t="s">
        <v>297</v>
      </c>
      <c r="T8" s="8" t="s">
        <v>298</v>
      </c>
      <c r="U8" s="8" t="s">
        <v>299</v>
      </c>
      <c r="V8" s="8" t="s">
        <v>300</v>
      </c>
      <c r="W8" s="8" t="s">
        <v>301</v>
      </c>
      <c r="X8" s="8" t="s">
        <v>302</v>
      </c>
      <c r="Y8" s="8" t="s">
        <v>20</v>
      </c>
      <c r="Z8" s="8" t="s">
        <v>303</v>
      </c>
    </row>
    <row r="9" spans="1:26">
      <c r="A9" s="6">
        <v>8</v>
      </c>
      <c r="B9" s="6">
        <v>13</v>
      </c>
      <c r="C9" s="6">
        <v>8</v>
      </c>
      <c r="D9" s="6">
        <v>6</v>
      </c>
      <c r="E9" s="6">
        <v>11</v>
      </c>
      <c r="F9" s="7">
        <f t="shared" si="0"/>
        <v>3.65</v>
      </c>
      <c r="G9" s="6">
        <v>3</v>
      </c>
      <c r="H9" s="6">
        <v>4</v>
      </c>
      <c r="I9" s="6">
        <v>4</v>
      </c>
      <c r="J9" s="6">
        <v>4</v>
      </c>
      <c r="K9" s="8" t="s">
        <v>304</v>
      </c>
      <c r="L9" s="8" t="s">
        <v>123</v>
      </c>
      <c r="M9" s="8" t="s">
        <v>124</v>
      </c>
      <c r="N9" s="8" t="s">
        <v>305</v>
      </c>
      <c r="O9" s="8" t="s">
        <v>125</v>
      </c>
      <c r="P9" s="8" t="s">
        <v>306</v>
      </c>
      <c r="Q9" s="8" t="s">
        <v>126</v>
      </c>
      <c r="R9" s="8" t="s">
        <v>127</v>
      </c>
      <c r="S9" s="8" t="s">
        <v>128</v>
      </c>
      <c r="T9" s="8" t="s">
        <v>307</v>
      </c>
      <c r="U9" s="8" t="s">
        <v>308</v>
      </c>
      <c r="V9" s="8" t="s">
        <v>309</v>
      </c>
      <c r="W9" s="8" t="s">
        <v>310</v>
      </c>
      <c r="X9" s="8" t="s">
        <v>311</v>
      </c>
      <c r="Y9" s="8" t="s">
        <v>129</v>
      </c>
      <c r="Z9" s="8" t="s">
        <v>312</v>
      </c>
    </row>
    <row r="10" spans="1:26">
      <c r="A10" s="6">
        <v>9</v>
      </c>
      <c r="B10" s="6">
        <v>22</v>
      </c>
      <c r="C10" s="6">
        <v>9</v>
      </c>
      <c r="D10" s="6">
        <v>4</v>
      </c>
      <c r="E10" s="6">
        <v>26</v>
      </c>
      <c r="F10" s="7">
        <f t="shared" si="0"/>
        <v>3.4</v>
      </c>
      <c r="G10" s="6">
        <v>2</v>
      </c>
      <c r="H10" s="6">
        <v>4</v>
      </c>
      <c r="I10" s="6">
        <v>5</v>
      </c>
      <c r="J10" s="6">
        <v>3</v>
      </c>
      <c r="K10" s="8" t="s">
        <v>313</v>
      </c>
      <c r="L10" s="8" t="s">
        <v>152</v>
      </c>
      <c r="M10" s="8" t="s">
        <v>153</v>
      </c>
      <c r="N10" s="8" t="s">
        <v>314</v>
      </c>
      <c r="O10" s="8" t="s">
        <v>154</v>
      </c>
      <c r="P10" s="8" t="s">
        <v>315</v>
      </c>
      <c r="Q10" s="8" t="s">
        <v>155</v>
      </c>
      <c r="R10" s="8" t="s">
        <v>316</v>
      </c>
      <c r="S10" s="8" t="s">
        <v>317</v>
      </c>
      <c r="T10" s="8" t="s">
        <v>318</v>
      </c>
      <c r="U10" s="8" t="s">
        <v>319</v>
      </c>
      <c r="V10" s="8" t="s">
        <v>320</v>
      </c>
      <c r="W10" s="8" t="s">
        <v>321</v>
      </c>
      <c r="X10" s="8" t="s">
        <v>322</v>
      </c>
      <c r="Y10" s="8" t="s">
        <v>158</v>
      </c>
      <c r="Z10" s="8" t="s">
        <v>323</v>
      </c>
    </row>
    <row r="11" spans="1:26">
      <c r="A11" s="6">
        <v>10</v>
      </c>
      <c r="B11" s="6">
        <v>2</v>
      </c>
      <c r="C11" s="6">
        <v>11</v>
      </c>
      <c r="D11" s="6">
        <v>14</v>
      </c>
      <c r="E11" s="6">
        <v>12</v>
      </c>
      <c r="F11" s="7">
        <f t="shared" si="0"/>
        <v>3.4</v>
      </c>
      <c r="G11" s="6">
        <v>5</v>
      </c>
      <c r="H11" s="6">
        <v>3</v>
      </c>
      <c r="I11" s="6">
        <v>1</v>
      </c>
      <c r="J11" s="6">
        <v>4</v>
      </c>
      <c r="K11" s="8" t="s">
        <v>324</v>
      </c>
      <c r="L11" s="8" t="s">
        <v>84</v>
      </c>
      <c r="M11" s="8" t="s">
        <v>85</v>
      </c>
      <c r="N11" s="8" t="s">
        <v>325</v>
      </c>
      <c r="O11" s="8" t="s">
        <v>86</v>
      </c>
      <c r="P11" s="8" t="s">
        <v>274</v>
      </c>
      <c r="Q11" s="8" t="s">
        <v>87</v>
      </c>
      <c r="R11" s="8" t="s">
        <v>88</v>
      </c>
      <c r="S11" s="8" t="s">
        <v>326</v>
      </c>
      <c r="T11" s="8" t="s">
        <v>327</v>
      </c>
      <c r="U11" s="8" t="s">
        <v>328</v>
      </c>
      <c r="V11" s="8" t="s">
        <v>329</v>
      </c>
      <c r="W11" s="8" t="s">
        <v>330</v>
      </c>
      <c r="X11" s="8" t="s">
        <v>331</v>
      </c>
      <c r="Y11" s="8" t="s">
        <v>90</v>
      </c>
      <c r="Z11" s="8" t="s">
        <v>332</v>
      </c>
    </row>
    <row r="12" spans="1:26">
      <c r="A12" s="6">
        <v>11</v>
      </c>
      <c r="B12" s="6">
        <v>26</v>
      </c>
      <c r="C12" s="6">
        <v>10</v>
      </c>
      <c r="D12" s="6">
        <v>5</v>
      </c>
      <c r="E12" s="6">
        <v>13</v>
      </c>
      <c r="F12" s="7">
        <f t="shared" si="0"/>
        <v>3.15</v>
      </c>
      <c r="G12" s="6">
        <v>1</v>
      </c>
      <c r="H12" s="6">
        <v>4</v>
      </c>
      <c r="I12" s="6">
        <v>5</v>
      </c>
      <c r="J12" s="6">
        <v>4</v>
      </c>
      <c r="K12" s="8" t="s">
        <v>333</v>
      </c>
      <c r="L12" s="8" t="s">
        <v>159</v>
      </c>
      <c r="M12" s="8" t="s">
        <v>160</v>
      </c>
      <c r="N12" s="8" t="s">
        <v>334</v>
      </c>
      <c r="O12" s="8" t="s">
        <v>161</v>
      </c>
      <c r="P12" s="8" t="s">
        <v>335</v>
      </c>
      <c r="Q12" s="8" t="s">
        <v>162</v>
      </c>
      <c r="R12" s="8" t="s">
        <v>163</v>
      </c>
      <c r="S12" s="8" t="s">
        <v>164</v>
      </c>
      <c r="T12" s="8" t="s">
        <v>336</v>
      </c>
      <c r="U12" s="8" t="s">
        <v>337</v>
      </c>
      <c r="V12" s="8" t="s">
        <v>338</v>
      </c>
      <c r="W12" s="8" t="s">
        <v>339</v>
      </c>
      <c r="X12" s="8" t="s">
        <v>340</v>
      </c>
      <c r="Y12" s="8" t="s">
        <v>166</v>
      </c>
      <c r="Z12" s="8" t="s">
        <v>341</v>
      </c>
    </row>
    <row r="13" spans="1:26">
      <c r="A13" s="6">
        <v>12</v>
      </c>
      <c r="B13" s="6">
        <v>7</v>
      </c>
      <c r="C13" s="6">
        <v>12</v>
      </c>
      <c r="D13" s="6">
        <v>15</v>
      </c>
      <c r="E13" s="6">
        <v>5</v>
      </c>
      <c r="F13" s="7">
        <f t="shared" si="0"/>
        <v>3.15</v>
      </c>
      <c r="G13" s="6">
        <v>4</v>
      </c>
      <c r="H13" s="6">
        <v>3</v>
      </c>
      <c r="I13" s="6">
        <v>1</v>
      </c>
      <c r="J13" s="6">
        <v>5</v>
      </c>
      <c r="K13" s="8" t="s">
        <v>342</v>
      </c>
      <c r="L13" s="8" t="s">
        <v>34</v>
      </c>
      <c r="M13" s="8" t="s">
        <v>42</v>
      </c>
      <c r="N13" s="8" t="s">
        <v>343</v>
      </c>
      <c r="O13" s="8" t="s">
        <v>43</v>
      </c>
      <c r="P13" s="8" t="s">
        <v>274</v>
      </c>
      <c r="Q13" s="8" t="s">
        <v>44</v>
      </c>
      <c r="R13" s="8" t="s">
        <v>344</v>
      </c>
      <c r="S13" s="8" t="s">
        <v>39</v>
      </c>
      <c r="T13" s="8" t="s">
        <v>345</v>
      </c>
      <c r="U13" s="8" t="s">
        <v>346</v>
      </c>
      <c r="V13" s="8" t="s">
        <v>347</v>
      </c>
      <c r="W13" s="8" t="s">
        <v>348</v>
      </c>
      <c r="X13" s="8" t="s">
        <v>349</v>
      </c>
      <c r="Y13" s="8" t="s">
        <v>45</v>
      </c>
      <c r="Z13" s="8" t="s">
        <v>350</v>
      </c>
    </row>
    <row r="14" spans="1:26">
      <c r="A14" s="6">
        <v>13</v>
      </c>
      <c r="B14" s="6">
        <v>8</v>
      </c>
      <c r="C14" s="6">
        <v>13</v>
      </c>
      <c r="D14" s="6">
        <v>16</v>
      </c>
      <c r="E14" s="6">
        <v>6</v>
      </c>
      <c r="F14" s="7">
        <f t="shared" si="0"/>
        <v>3.15</v>
      </c>
      <c r="G14" s="6">
        <v>4</v>
      </c>
      <c r="H14" s="6">
        <v>3</v>
      </c>
      <c r="I14" s="6">
        <v>1</v>
      </c>
      <c r="J14" s="6">
        <v>5</v>
      </c>
      <c r="K14" s="8" t="s">
        <v>351</v>
      </c>
      <c r="L14" s="8" t="s">
        <v>34</v>
      </c>
      <c r="M14" s="8" t="s">
        <v>35</v>
      </c>
      <c r="N14" s="8" t="s">
        <v>352</v>
      </c>
      <c r="O14" s="8" t="s">
        <v>36</v>
      </c>
      <c r="P14" s="8" t="s">
        <v>274</v>
      </c>
      <c r="Q14" s="8" t="s">
        <v>37</v>
      </c>
      <c r="R14" s="8" t="s">
        <v>38</v>
      </c>
      <c r="S14" s="8" t="s">
        <v>39</v>
      </c>
      <c r="T14" s="8" t="s">
        <v>353</v>
      </c>
      <c r="U14" s="8" t="s">
        <v>354</v>
      </c>
      <c r="V14" s="8" t="s">
        <v>355</v>
      </c>
      <c r="W14" s="8" t="s">
        <v>356</v>
      </c>
      <c r="X14" s="8" t="s">
        <v>357</v>
      </c>
      <c r="Y14" s="8" t="s">
        <v>41</v>
      </c>
      <c r="Z14" s="8" t="s">
        <v>358</v>
      </c>
    </row>
    <row r="15" spans="1:26">
      <c r="A15" s="6">
        <v>14</v>
      </c>
      <c r="B15" s="6">
        <v>14</v>
      </c>
      <c r="C15" s="6">
        <v>14</v>
      </c>
      <c r="D15" s="6">
        <v>8</v>
      </c>
      <c r="E15" s="6">
        <v>14</v>
      </c>
      <c r="F15" s="7">
        <f t="shared" si="0"/>
        <v>3.1</v>
      </c>
      <c r="G15" s="6">
        <v>3</v>
      </c>
      <c r="H15" s="6">
        <v>3</v>
      </c>
      <c r="I15" s="6">
        <v>3</v>
      </c>
      <c r="J15" s="6">
        <v>4</v>
      </c>
      <c r="K15" s="8" t="s">
        <v>359</v>
      </c>
      <c r="L15" s="8" t="s">
        <v>115</v>
      </c>
      <c r="M15" s="8" t="s">
        <v>116</v>
      </c>
      <c r="N15" s="8" t="s">
        <v>360</v>
      </c>
      <c r="O15" s="8" t="s">
        <v>361</v>
      </c>
      <c r="P15" s="8" t="s">
        <v>362</v>
      </c>
      <c r="Q15" s="8" t="s">
        <v>118</v>
      </c>
      <c r="R15" s="8" t="s">
        <v>119</v>
      </c>
      <c r="S15" s="8" t="s">
        <v>120</v>
      </c>
      <c r="T15" s="8" t="s">
        <v>121</v>
      </c>
      <c r="U15" s="8" t="s">
        <v>363</v>
      </c>
      <c r="V15" s="8" t="s">
        <v>364</v>
      </c>
      <c r="W15" s="8" t="s">
        <v>365</v>
      </c>
      <c r="X15" s="8" t="s">
        <v>366</v>
      </c>
      <c r="Y15" s="8" t="s">
        <v>122</v>
      </c>
      <c r="Z15" s="8" t="s">
        <v>367</v>
      </c>
    </row>
    <row r="16" spans="1:26">
      <c r="A16" s="6">
        <v>15</v>
      </c>
      <c r="B16" s="6">
        <v>3</v>
      </c>
      <c r="C16" s="6">
        <v>15</v>
      </c>
      <c r="D16" s="6">
        <v>17</v>
      </c>
      <c r="E16" s="6">
        <v>15</v>
      </c>
      <c r="F16" s="7">
        <f t="shared" si="0"/>
        <v>3.05</v>
      </c>
      <c r="G16" s="6">
        <v>5</v>
      </c>
      <c r="H16" s="6">
        <v>2</v>
      </c>
      <c r="I16" s="6">
        <v>1</v>
      </c>
      <c r="J16" s="6">
        <v>4</v>
      </c>
      <c r="K16" s="8" t="s">
        <v>368</v>
      </c>
      <c r="L16" s="8" t="s">
        <v>91</v>
      </c>
      <c r="M16" s="8" t="s">
        <v>92</v>
      </c>
      <c r="N16" s="8" t="s">
        <v>369</v>
      </c>
      <c r="O16" s="8" t="s">
        <v>93</v>
      </c>
      <c r="P16" s="8" t="s">
        <v>274</v>
      </c>
      <c r="Q16" s="8" t="s">
        <v>94</v>
      </c>
      <c r="R16" s="8" t="s">
        <v>95</v>
      </c>
      <c r="S16" s="8" t="s">
        <v>50</v>
      </c>
      <c r="T16" s="8" t="s">
        <v>370</v>
      </c>
      <c r="U16" s="8" t="s">
        <v>371</v>
      </c>
      <c r="V16" s="8" t="s">
        <v>372</v>
      </c>
      <c r="W16" s="8" t="s">
        <v>373</v>
      </c>
      <c r="X16" s="8" t="s">
        <v>374</v>
      </c>
      <c r="Y16" s="8" t="s">
        <v>96</v>
      </c>
      <c r="Z16" s="8" t="s">
        <v>375</v>
      </c>
    </row>
    <row r="17" spans="1:26">
      <c r="A17" s="6">
        <v>16</v>
      </c>
      <c r="B17" s="6">
        <v>9</v>
      </c>
      <c r="C17" s="6">
        <v>16</v>
      </c>
      <c r="D17" s="6">
        <v>18</v>
      </c>
      <c r="E17" s="6">
        <v>16</v>
      </c>
      <c r="F17" s="7">
        <f t="shared" si="0"/>
        <v>2.7</v>
      </c>
      <c r="G17" s="6">
        <v>4</v>
      </c>
      <c r="H17" s="6">
        <v>2</v>
      </c>
      <c r="I17" s="6">
        <v>1</v>
      </c>
      <c r="J17" s="6">
        <v>4</v>
      </c>
      <c r="K17" s="8" t="s">
        <v>376</v>
      </c>
      <c r="L17" s="8" t="s">
        <v>34</v>
      </c>
      <c r="M17" s="8" t="s">
        <v>46</v>
      </c>
      <c r="N17" s="8" t="s">
        <v>377</v>
      </c>
      <c r="O17" s="8" t="s">
        <v>47</v>
      </c>
      <c r="P17" s="8" t="s">
        <v>274</v>
      </c>
      <c r="Q17" s="8" t="s">
        <v>48</v>
      </c>
      <c r="R17" s="8" t="s">
        <v>49</v>
      </c>
      <c r="S17" s="8" t="s">
        <v>50</v>
      </c>
      <c r="T17" s="8" t="s">
        <v>378</v>
      </c>
      <c r="U17" s="8" t="s">
        <v>379</v>
      </c>
      <c r="V17" s="8" t="s">
        <v>380</v>
      </c>
      <c r="W17" s="8" t="s">
        <v>381</v>
      </c>
      <c r="X17" s="8" t="s">
        <v>51</v>
      </c>
      <c r="Y17" s="8" t="s">
        <v>52</v>
      </c>
      <c r="Z17" s="8" t="s">
        <v>382</v>
      </c>
    </row>
    <row r="18" spans="1:26">
      <c r="A18" s="6">
        <v>17</v>
      </c>
      <c r="B18" s="6">
        <v>10</v>
      </c>
      <c r="C18" s="6">
        <v>17</v>
      </c>
      <c r="D18" s="6">
        <v>19</v>
      </c>
      <c r="E18" s="6">
        <v>17</v>
      </c>
      <c r="F18" s="7">
        <f t="shared" si="0"/>
        <v>2.7</v>
      </c>
      <c r="G18" s="6">
        <v>4</v>
      </c>
      <c r="H18" s="6">
        <v>2</v>
      </c>
      <c r="I18" s="6">
        <v>1</v>
      </c>
      <c r="J18" s="6">
        <v>4</v>
      </c>
      <c r="K18" s="8" t="s">
        <v>383</v>
      </c>
      <c r="L18" s="8" t="s">
        <v>174</v>
      </c>
      <c r="M18" s="8" t="s">
        <v>175</v>
      </c>
      <c r="N18" s="8" t="s">
        <v>384</v>
      </c>
      <c r="O18" s="8" t="s">
        <v>176</v>
      </c>
      <c r="P18" s="8" t="s">
        <v>274</v>
      </c>
      <c r="Q18" s="8" t="s">
        <v>177</v>
      </c>
      <c r="R18" s="8" t="s">
        <v>178</v>
      </c>
      <c r="S18" s="8" t="s">
        <v>50</v>
      </c>
      <c r="T18" s="8" t="s">
        <v>385</v>
      </c>
      <c r="U18" s="8" t="s">
        <v>386</v>
      </c>
      <c r="V18" s="8" t="s">
        <v>387</v>
      </c>
      <c r="W18" s="8" t="s">
        <v>388</v>
      </c>
      <c r="X18" s="8" t="s">
        <v>389</v>
      </c>
      <c r="Y18" s="8" t="s">
        <v>179</v>
      </c>
      <c r="Z18" s="8" t="s">
        <v>390</v>
      </c>
    </row>
    <row r="19" spans="1:26">
      <c r="A19" s="6">
        <v>18</v>
      </c>
      <c r="B19" s="6">
        <v>11</v>
      </c>
      <c r="C19" s="6">
        <v>18</v>
      </c>
      <c r="D19" s="6">
        <v>20</v>
      </c>
      <c r="E19" s="6">
        <v>18</v>
      </c>
      <c r="F19" s="7">
        <f t="shared" si="0"/>
        <v>2.7</v>
      </c>
      <c r="G19" s="6">
        <v>4</v>
      </c>
      <c r="H19" s="6">
        <v>2</v>
      </c>
      <c r="I19" s="6">
        <v>1</v>
      </c>
      <c r="J19" s="6">
        <v>4</v>
      </c>
      <c r="K19" s="8" t="s">
        <v>391</v>
      </c>
      <c r="L19" s="8" t="s">
        <v>59</v>
      </c>
      <c r="M19" s="8" t="s">
        <v>60</v>
      </c>
      <c r="N19" s="8" t="s">
        <v>392</v>
      </c>
      <c r="O19" s="8" t="s">
        <v>61</v>
      </c>
      <c r="P19" s="8" t="s">
        <v>274</v>
      </c>
      <c r="Q19" s="8" t="s">
        <v>62</v>
      </c>
      <c r="R19" s="8" t="s">
        <v>63</v>
      </c>
      <c r="S19" s="8" t="s">
        <v>50</v>
      </c>
      <c r="T19" s="8" t="s">
        <v>393</v>
      </c>
      <c r="U19" s="8" t="s">
        <v>394</v>
      </c>
      <c r="V19" s="8" t="s">
        <v>395</v>
      </c>
      <c r="W19" s="8" t="s">
        <v>396</v>
      </c>
      <c r="X19" s="8" t="s">
        <v>64</v>
      </c>
      <c r="Y19" s="8" t="s">
        <v>65</v>
      </c>
      <c r="Z19" s="8" t="s">
        <v>397</v>
      </c>
    </row>
    <row r="20" spans="1:26">
      <c r="A20" s="6">
        <v>19</v>
      </c>
      <c r="B20" s="6">
        <v>15</v>
      </c>
      <c r="C20" s="6">
        <v>19</v>
      </c>
      <c r="D20" s="6">
        <v>12</v>
      </c>
      <c r="E20" s="6">
        <v>19</v>
      </c>
      <c r="F20" s="7">
        <f t="shared" si="0"/>
        <v>2.5499999999999998</v>
      </c>
      <c r="G20" s="6">
        <v>3</v>
      </c>
      <c r="H20" s="6">
        <v>2</v>
      </c>
      <c r="I20" s="6">
        <v>2</v>
      </c>
      <c r="J20" s="6">
        <v>4</v>
      </c>
      <c r="K20" s="8" t="s">
        <v>398</v>
      </c>
      <c r="L20" s="8" t="s">
        <v>72</v>
      </c>
      <c r="M20" s="8" t="s">
        <v>73</v>
      </c>
      <c r="N20" s="8" t="s">
        <v>399</v>
      </c>
      <c r="O20" s="8" t="s">
        <v>74</v>
      </c>
      <c r="P20" s="8" t="s">
        <v>400</v>
      </c>
      <c r="Q20" s="8" t="s">
        <v>75</v>
      </c>
      <c r="R20" s="8" t="s">
        <v>76</v>
      </c>
      <c r="S20" s="8" t="s">
        <v>50</v>
      </c>
      <c r="T20" s="8" t="s">
        <v>401</v>
      </c>
      <c r="U20" s="8" t="s">
        <v>402</v>
      </c>
      <c r="V20" s="8" t="s">
        <v>403</v>
      </c>
      <c r="W20" s="8" t="s">
        <v>404</v>
      </c>
      <c r="X20" s="8" t="s">
        <v>405</v>
      </c>
      <c r="Y20" s="8" t="s">
        <v>77</v>
      </c>
      <c r="Z20" s="8" t="s">
        <v>406</v>
      </c>
    </row>
    <row r="21" spans="1:26">
      <c r="A21" s="6">
        <v>20</v>
      </c>
      <c r="B21" s="6">
        <v>23</v>
      </c>
      <c r="C21" s="6">
        <v>20</v>
      </c>
      <c r="D21" s="6">
        <v>9</v>
      </c>
      <c r="E21" s="6">
        <v>20</v>
      </c>
      <c r="F21" s="7">
        <f t="shared" si="0"/>
        <v>2.4</v>
      </c>
      <c r="G21" s="6">
        <v>2</v>
      </c>
      <c r="H21" s="6">
        <v>2</v>
      </c>
      <c r="I21" s="6">
        <v>3</v>
      </c>
      <c r="J21" s="6">
        <v>4</v>
      </c>
      <c r="K21" s="8" t="s">
        <v>407</v>
      </c>
      <c r="L21" s="8" t="s">
        <v>143</v>
      </c>
      <c r="M21" s="8" t="s">
        <v>144</v>
      </c>
      <c r="N21" s="8" t="s">
        <v>408</v>
      </c>
      <c r="O21" s="8" t="s">
        <v>145</v>
      </c>
      <c r="P21" s="8" t="s">
        <v>409</v>
      </c>
      <c r="Q21" s="8" t="s">
        <v>146</v>
      </c>
      <c r="R21" s="8" t="s">
        <v>147</v>
      </c>
      <c r="S21" s="8" t="s">
        <v>148</v>
      </c>
      <c r="T21" s="8" t="s">
        <v>150</v>
      </c>
      <c r="U21" s="8" t="s">
        <v>410</v>
      </c>
      <c r="V21" s="8" t="s">
        <v>411</v>
      </c>
      <c r="W21" s="8" t="s">
        <v>412</v>
      </c>
      <c r="X21" s="8" t="s">
        <v>413</v>
      </c>
      <c r="Y21" s="8" t="s">
        <v>151</v>
      </c>
      <c r="Z21" s="8" t="s">
        <v>414</v>
      </c>
    </row>
    <row r="22" spans="1:26">
      <c r="A22" s="6">
        <v>21</v>
      </c>
      <c r="B22" s="6">
        <v>16</v>
      </c>
      <c r="C22" s="6">
        <v>21</v>
      </c>
      <c r="D22" s="6">
        <v>21</v>
      </c>
      <c r="E22" s="6">
        <v>21</v>
      </c>
      <c r="F22" s="7">
        <f t="shared" si="0"/>
        <v>2.35</v>
      </c>
      <c r="G22" s="6">
        <v>3</v>
      </c>
      <c r="H22" s="6">
        <v>2</v>
      </c>
      <c r="I22" s="6">
        <v>1</v>
      </c>
      <c r="J22" s="6">
        <v>4</v>
      </c>
      <c r="K22" s="8" t="s">
        <v>415</v>
      </c>
      <c r="L22" s="8" t="s">
        <v>102</v>
      </c>
      <c r="M22" s="8" t="s">
        <v>103</v>
      </c>
      <c r="N22" s="8" t="s">
        <v>416</v>
      </c>
      <c r="O22" s="8" t="s">
        <v>104</v>
      </c>
      <c r="P22" s="8" t="s">
        <v>274</v>
      </c>
      <c r="Q22" s="8" t="s">
        <v>105</v>
      </c>
      <c r="R22" s="8" t="s">
        <v>106</v>
      </c>
      <c r="S22" s="8" t="s">
        <v>50</v>
      </c>
      <c r="T22" s="8" t="s">
        <v>417</v>
      </c>
      <c r="U22" s="8" t="s">
        <v>418</v>
      </c>
      <c r="V22" s="8" t="s">
        <v>419</v>
      </c>
      <c r="W22" s="8" t="s">
        <v>420</v>
      </c>
      <c r="X22" s="8" t="s">
        <v>107</v>
      </c>
      <c r="Y22" s="8" t="s">
        <v>108</v>
      </c>
      <c r="Z22" s="8" t="s">
        <v>421</v>
      </c>
    </row>
    <row r="23" spans="1:26">
      <c r="A23" s="6">
        <v>22</v>
      </c>
      <c r="B23" s="6">
        <v>17</v>
      </c>
      <c r="C23" s="6">
        <v>22</v>
      </c>
      <c r="D23" s="6">
        <v>22</v>
      </c>
      <c r="E23" s="6">
        <v>22</v>
      </c>
      <c r="F23" s="7">
        <f t="shared" si="0"/>
        <v>2.35</v>
      </c>
      <c r="G23" s="6">
        <v>3</v>
      </c>
      <c r="H23" s="6">
        <v>2</v>
      </c>
      <c r="I23" s="6">
        <v>1</v>
      </c>
      <c r="J23" s="6">
        <v>4</v>
      </c>
      <c r="K23" s="8" t="s">
        <v>422</v>
      </c>
      <c r="L23" s="8" t="s">
        <v>34</v>
      </c>
      <c r="M23" s="8" t="s">
        <v>53</v>
      </c>
      <c r="N23" s="8" t="s">
        <v>423</v>
      </c>
      <c r="O23" s="8" t="s">
        <v>424</v>
      </c>
      <c r="P23" s="8" t="s">
        <v>274</v>
      </c>
      <c r="Q23" s="8" t="s">
        <v>55</v>
      </c>
      <c r="R23" s="8" t="s">
        <v>56</v>
      </c>
      <c r="S23" s="8" t="s">
        <v>50</v>
      </c>
      <c r="T23" s="8" t="s">
        <v>425</v>
      </c>
      <c r="U23" s="8" t="s">
        <v>426</v>
      </c>
      <c r="V23" s="8" t="s">
        <v>427</v>
      </c>
      <c r="W23" s="8" t="s">
        <v>428</v>
      </c>
      <c r="X23" s="8" t="s">
        <v>57</v>
      </c>
      <c r="Y23" s="8" t="s">
        <v>58</v>
      </c>
      <c r="Z23" s="8" t="s">
        <v>429</v>
      </c>
    </row>
    <row r="24" spans="1:26">
      <c r="A24" s="6">
        <v>23</v>
      </c>
      <c r="B24" s="6">
        <v>18</v>
      </c>
      <c r="C24" s="6">
        <v>23</v>
      </c>
      <c r="D24" s="6">
        <v>23</v>
      </c>
      <c r="E24" s="6">
        <v>23</v>
      </c>
      <c r="F24" s="7">
        <f t="shared" si="0"/>
        <v>2.35</v>
      </c>
      <c r="G24" s="6">
        <v>3</v>
      </c>
      <c r="H24" s="6">
        <v>2</v>
      </c>
      <c r="I24" s="6">
        <v>1</v>
      </c>
      <c r="J24" s="6">
        <v>4</v>
      </c>
      <c r="K24" s="8" t="s">
        <v>430</v>
      </c>
      <c r="L24" s="8" t="s">
        <v>34</v>
      </c>
      <c r="M24" s="8" t="s">
        <v>66</v>
      </c>
      <c r="N24" s="8" t="s">
        <v>431</v>
      </c>
      <c r="O24" s="8" t="s">
        <v>67</v>
      </c>
      <c r="P24" s="8" t="s">
        <v>274</v>
      </c>
      <c r="Q24" s="8" t="s">
        <v>68</v>
      </c>
      <c r="R24" s="8" t="s">
        <v>69</v>
      </c>
      <c r="S24" s="8" t="s">
        <v>50</v>
      </c>
      <c r="T24" s="8" t="s">
        <v>432</v>
      </c>
      <c r="U24" s="8" t="s">
        <v>433</v>
      </c>
      <c r="V24" s="8" t="s">
        <v>434</v>
      </c>
      <c r="W24" s="8" t="s">
        <v>435</v>
      </c>
      <c r="X24" s="8" t="s">
        <v>70</v>
      </c>
      <c r="Y24" s="8" t="s">
        <v>71</v>
      </c>
      <c r="Z24" s="8" t="s">
        <v>436</v>
      </c>
    </row>
    <row r="25" spans="1:26">
      <c r="A25" s="6">
        <v>24</v>
      </c>
      <c r="B25" s="6">
        <v>19</v>
      </c>
      <c r="C25" s="6">
        <v>24</v>
      </c>
      <c r="D25" s="6">
        <v>24</v>
      </c>
      <c r="E25" s="6">
        <v>24</v>
      </c>
      <c r="F25" s="7">
        <f t="shared" si="0"/>
        <v>2.35</v>
      </c>
      <c r="G25" s="6">
        <v>3</v>
      </c>
      <c r="H25" s="6">
        <v>2</v>
      </c>
      <c r="I25" s="6">
        <v>1</v>
      </c>
      <c r="J25" s="6">
        <v>4</v>
      </c>
      <c r="K25" s="8" t="s">
        <v>437</v>
      </c>
      <c r="L25" s="8" t="s">
        <v>91</v>
      </c>
      <c r="M25" s="8" t="s">
        <v>97</v>
      </c>
      <c r="N25" s="8" t="s">
        <v>438</v>
      </c>
      <c r="O25" s="8" t="s">
        <v>98</v>
      </c>
      <c r="P25" s="8" t="s">
        <v>274</v>
      </c>
      <c r="Q25" s="8" t="s">
        <v>99</v>
      </c>
      <c r="R25" s="8" t="s">
        <v>100</v>
      </c>
      <c r="S25" s="8" t="s">
        <v>50</v>
      </c>
      <c r="T25" s="8" t="s">
        <v>439</v>
      </c>
      <c r="U25" s="8" t="s">
        <v>440</v>
      </c>
      <c r="V25" s="8" t="s">
        <v>441</v>
      </c>
      <c r="W25" s="8" t="s">
        <v>442</v>
      </c>
      <c r="X25" s="8" t="s">
        <v>101</v>
      </c>
      <c r="Y25" s="8" t="s">
        <v>443</v>
      </c>
      <c r="Z25" s="8" t="s">
        <v>444</v>
      </c>
    </row>
    <row r="26" spans="1:26">
      <c r="A26" s="6">
        <v>25</v>
      </c>
      <c r="B26" s="6">
        <v>24</v>
      </c>
      <c r="C26" s="6">
        <v>25</v>
      </c>
      <c r="D26" s="6">
        <v>25</v>
      </c>
      <c r="E26" s="6">
        <v>7</v>
      </c>
      <c r="F26" s="7">
        <f t="shared" si="0"/>
        <v>2.1</v>
      </c>
      <c r="G26" s="6">
        <v>2</v>
      </c>
      <c r="H26" s="6">
        <v>2</v>
      </c>
      <c r="I26" s="6">
        <v>1</v>
      </c>
      <c r="J26" s="6">
        <v>5</v>
      </c>
      <c r="K26" s="8" t="s">
        <v>445</v>
      </c>
      <c r="L26" s="8" t="s">
        <v>102</v>
      </c>
      <c r="M26" s="8" t="s">
        <v>109</v>
      </c>
      <c r="N26" s="8" t="s">
        <v>446</v>
      </c>
      <c r="O26" s="8" t="s">
        <v>447</v>
      </c>
      <c r="P26" s="8" t="s">
        <v>274</v>
      </c>
      <c r="Q26" s="8" t="s">
        <v>111</v>
      </c>
      <c r="R26" s="8" t="s">
        <v>112</v>
      </c>
      <c r="S26" s="8" t="s">
        <v>50</v>
      </c>
      <c r="T26" s="8" t="s">
        <v>448</v>
      </c>
      <c r="U26" s="8" t="s">
        <v>449</v>
      </c>
      <c r="V26" s="8" t="s">
        <v>450</v>
      </c>
      <c r="W26" s="8" t="s">
        <v>451</v>
      </c>
      <c r="X26" s="8" t="s">
        <v>113</v>
      </c>
      <c r="Y26" s="8" t="s">
        <v>114</v>
      </c>
      <c r="Z26" s="8" t="s">
        <v>452</v>
      </c>
    </row>
    <row r="27" spans="1:26">
      <c r="A27" s="6">
        <v>26</v>
      </c>
      <c r="B27" s="6">
        <v>25</v>
      </c>
      <c r="C27" s="6">
        <v>26</v>
      </c>
      <c r="D27" s="6">
        <v>26</v>
      </c>
      <c r="E27" s="6">
        <v>25</v>
      </c>
      <c r="F27" s="7">
        <f t="shared" si="0"/>
        <v>1.65</v>
      </c>
      <c r="G27" s="6">
        <v>2</v>
      </c>
      <c r="H27" s="6">
        <v>1</v>
      </c>
      <c r="I27" s="6">
        <v>1</v>
      </c>
      <c r="J27" s="6">
        <v>4</v>
      </c>
      <c r="K27" s="8" t="s">
        <v>453</v>
      </c>
      <c r="L27" s="8" t="s">
        <v>167</v>
      </c>
      <c r="M27" s="8" t="s">
        <v>168</v>
      </c>
      <c r="N27" s="8" t="s">
        <v>454</v>
      </c>
      <c r="O27" s="8" t="s">
        <v>169</v>
      </c>
      <c r="P27" s="8" t="s">
        <v>274</v>
      </c>
      <c r="Q27" s="8" t="s">
        <v>170</v>
      </c>
      <c r="R27" s="8" t="s">
        <v>171</v>
      </c>
      <c r="S27" s="8" t="s">
        <v>148</v>
      </c>
      <c r="T27" s="8" t="s">
        <v>455</v>
      </c>
      <c r="U27" s="8" t="s">
        <v>456</v>
      </c>
      <c r="V27" s="8" t="s">
        <v>457</v>
      </c>
      <c r="W27" s="8" t="s">
        <v>458</v>
      </c>
      <c r="X27" s="8" t="s">
        <v>172</v>
      </c>
      <c r="Y27" s="8" t="s">
        <v>173</v>
      </c>
      <c r="Z27" s="8" t="s">
        <v>452</v>
      </c>
    </row>
  </sheetData>
  <conditionalFormatting sqref="A2:A27">
    <cfRule type="colorScale" priority="1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B2:B27">
    <cfRule type="colorScale" priority="2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C2:C27">
    <cfRule type="colorScale" priority="3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D2:D27">
    <cfRule type="colorScale" priority="4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E2:E27">
    <cfRule type="colorScale" priority="5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F2:F27">
    <cfRule type="colorScale" priority="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2:G27">
    <cfRule type="colorScale" priority="7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2:H27">
    <cfRule type="colorScale" priority="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2:I27">
    <cfRule type="colorScale" priority="9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2:J27">
    <cfRule type="colorScale" priority="10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7944-61EF-4A2F-864B-E37624ADD880}">
  <dimension ref="A1:E12"/>
  <sheetViews>
    <sheetView tabSelected="1" workbookViewId="0">
      <selection activeCell="A2" sqref="A2"/>
    </sheetView>
  </sheetViews>
  <sheetFormatPr defaultRowHeight="13.8"/>
  <cols>
    <col min="1" max="1" width="35.3984375" customWidth="1"/>
    <col min="2" max="2" width="45.19921875" customWidth="1"/>
    <col min="3" max="3" width="34.09765625" customWidth="1"/>
    <col min="4" max="4" width="50.5" customWidth="1"/>
    <col min="5" max="5" width="24.59765625" customWidth="1"/>
  </cols>
  <sheetData>
    <row r="1" spans="1:5">
      <c r="A1" s="3" t="s">
        <v>517</v>
      </c>
      <c r="B1" s="3" t="s">
        <v>516</v>
      </c>
      <c r="C1" s="3" t="s">
        <v>459</v>
      </c>
      <c r="D1" s="3" t="s">
        <v>460</v>
      </c>
      <c r="E1" s="3" t="s">
        <v>461</v>
      </c>
    </row>
    <row r="2" spans="1:5" ht="96.6">
      <c r="A2" s="4" t="s">
        <v>462</v>
      </c>
      <c r="B2" s="4" t="s">
        <v>463</v>
      </c>
      <c r="C2" s="4" t="s">
        <v>464</v>
      </c>
      <c r="D2" s="4" t="s">
        <v>465</v>
      </c>
      <c r="E2" s="4" t="s">
        <v>466</v>
      </c>
    </row>
    <row r="3" spans="1:5" ht="220.8">
      <c r="A3" s="4" t="s">
        <v>467</v>
      </c>
      <c r="B3" s="4" t="s">
        <v>468</v>
      </c>
      <c r="C3" s="4" t="s">
        <v>469</v>
      </c>
      <c r="D3" s="4" t="s">
        <v>470</v>
      </c>
      <c r="E3" s="4" t="s">
        <v>471</v>
      </c>
    </row>
    <row r="4" spans="1:5" ht="276">
      <c r="A4" s="4" t="s">
        <v>472</v>
      </c>
      <c r="B4" s="4" t="s">
        <v>473</v>
      </c>
      <c r="C4" s="4" t="s">
        <v>474</v>
      </c>
      <c r="D4" s="4" t="s">
        <v>475</v>
      </c>
      <c r="E4" s="4" t="s">
        <v>476</v>
      </c>
    </row>
    <row r="5" spans="1:5" ht="220.8">
      <c r="A5" s="4" t="s">
        <v>477</v>
      </c>
      <c r="B5" s="4" t="s">
        <v>478</v>
      </c>
      <c r="C5" s="4" t="s">
        <v>479</v>
      </c>
      <c r="D5" s="4" t="s">
        <v>480</v>
      </c>
      <c r="E5" s="4" t="s">
        <v>481</v>
      </c>
    </row>
    <row r="6" spans="1:5" ht="220.8">
      <c r="A6" s="4" t="s">
        <v>482</v>
      </c>
      <c r="B6" s="4" t="s">
        <v>483</v>
      </c>
      <c r="C6" s="4" t="s">
        <v>484</v>
      </c>
      <c r="D6" s="4" t="s">
        <v>485</v>
      </c>
      <c r="E6" s="4" t="s">
        <v>486</v>
      </c>
    </row>
    <row r="7" spans="1:5" ht="234.6">
      <c r="A7" s="4" t="s">
        <v>137</v>
      </c>
      <c r="B7" s="4" t="s">
        <v>487</v>
      </c>
      <c r="C7" s="4" t="s">
        <v>488</v>
      </c>
      <c r="D7" s="4" t="s">
        <v>489</v>
      </c>
      <c r="E7" s="4" t="s">
        <v>490</v>
      </c>
    </row>
    <row r="8" spans="1:5" ht="234.6">
      <c r="A8" s="4" t="s">
        <v>491</v>
      </c>
      <c r="B8" s="4" t="s">
        <v>492</v>
      </c>
      <c r="C8" s="4" t="s">
        <v>493</v>
      </c>
      <c r="D8" s="4" t="s">
        <v>494</v>
      </c>
      <c r="E8" s="4" t="s">
        <v>495</v>
      </c>
    </row>
    <row r="9" spans="1:5" ht="276">
      <c r="A9" s="4" t="s">
        <v>496</v>
      </c>
      <c r="B9" s="4" t="s">
        <v>497</v>
      </c>
      <c r="C9" s="4" t="s">
        <v>498</v>
      </c>
      <c r="D9" s="4" t="s">
        <v>499</v>
      </c>
      <c r="E9" s="4" t="s">
        <v>500</v>
      </c>
    </row>
    <row r="10" spans="1:5" ht="220.8">
      <c r="A10" s="4" t="s">
        <v>501</v>
      </c>
      <c r="B10" s="4" t="s">
        <v>502</v>
      </c>
      <c r="C10" s="4" t="s">
        <v>503</v>
      </c>
      <c r="D10" s="4" t="s">
        <v>504</v>
      </c>
      <c r="E10" s="4" t="s">
        <v>505</v>
      </c>
    </row>
    <row r="11" spans="1:5" ht="220.8">
      <c r="A11" s="4" t="s">
        <v>506</v>
      </c>
      <c r="B11" s="4" t="s">
        <v>507</v>
      </c>
      <c r="C11" s="4" t="s">
        <v>508</v>
      </c>
      <c r="D11" s="4" t="s">
        <v>509</v>
      </c>
      <c r="E11" s="4" t="s">
        <v>510</v>
      </c>
    </row>
    <row r="12" spans="1:5" ht="193.2">
      <c r="A12" s="4" t="s">
        <v>511</v>
      </c>
      <c r="B12" s="4" t="s">
        <v>512</v>
      </c>
      <c r="C12" s="4" t="s">
        <v>513</v>
      </c>
      <c r="D12" s="4" t="s">
        <v>514</v>
      </c>
      <c r="E12" s="4" t="s">
        <v>515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/>
  </sheetViews>
  <sheetFormatPr defaultRowHeight="13.8"/>
  <cols>
    <col min="1" max="4" width="38" customWidth="1"/>
  </cols>
  <sheetData>
    <row r="1" spans="1:4">
      <c r="A1" s="2" t="s">
        <v>180</v>
      </c>
      <c r="B1" s="2" t="s">
        <v>181</v>
      </c>
      <c r="C1" s="2" t="s">
        <v>0</v>
      </c>
      <c r="D1" s="2" t="s">
        <v>182</v>
      </c>
    </row>
    <row r="2" spans="1:4">
      <c r="A2" t="s">
        <v>26</v>
      </c>
      <c r="B2" t="s">
        <v>13</v>
      </c>
      <c r="C2" t="s">
        <v>123</v>
      </c>
      <c r="D2" t="s">
        <v>139</v>
      </c>
    </row>
    <row r="3" spans="1:4">
      <c r="A3" t="s">
        <v>165</v>
      </c>
      <c r="B3" t="s">
        <v>164</v>
      </c>
      <c r="C3" t="s">
        <v>78</v>
      </c>
      <c r="D3" t="s">
        <v>145</v>
      </c>
    </row>
    <row r="4" spans="1:4">
      <c r="A4" t="s">
        <v>40</v>
      </c>
      <c r="B4" t="s">
        <v>156</v>
      </c>
      <c r="C4" t="s">
        <v>59</v>
      </c>
      <c r="D4" t="s">
        <v>74</v>
      </c>
    </row>
    <row r="5" spans="1:4">
      <c r="A5" t="s">
        <v>14</v>
      </c>
      <c r="B5" t="s">
        <v>135</v>
      </c>
      <c r="C5" t="s">
        <v>174</v>
      </c>
      <c r="D5" t="s">
        <v>54</v>
      </c>
    </row>
    <row r="6" spans="1:4">
      <c r="A6" t="s">
        <v>89</v>
      </c>
      <c r="B6" t="s">
        <v>128</v>
      </c>
      <c r="C6" t="s">
        <v>91</v>
      </c>
      <c r="D6" t="s">
        <v>110</v>
      </c>
    </row>
    <row r="7" spans="1:4">
      <c r="A7" t="s">
        <v>149</v>
      </c>
      <c r="B7" t="s">
        <v>50</v>
      </c>
      <c r="C7" t="s">
        <v>115</v>
      </c>
      <c r="D7" t="s">
        <v>17</v>
      </c>
    </row>
    <row r="8" spans="1:4">
      <c r="A8" t="s">
        <v>157</v>
      </c>
      <c r="B8" t="s">
        <v>39</v>
      </c>
      <c r="C8" t="s">
        <v>143</v>
      </c>
      <c r="D8" t="s">
        <v>23</v>
      </c>
    </row>
    <row r="9" spans="1:4">
      <c r="A9" t="s">
        <v>83</v>
      </c>
      <c r="B9" t="s">
        <v>120</v>
      </c>
      <c r="C9" t="s">
        <v>84</v>
      </c>
      <c r="D9" t="s">
        <v>86</v>
      </c>
    </row>
    <row r="10" spans="1:4">
      <c r="B10" t="s">
        <v>148</v>
      </c>
      <c r="C10" t="s">
        <v>159</v>
      </c>
      <c r="D10" t="s">
        <v>93</v>
      </c>
    </row>
    <row r="11" spans="1:4">
      <c r="C11" t="s">
        <v>152</v>
      </c>
      <c r="D11" t="s">
        <v>36</v>
      </c>
    </row>
    <row r="12" spans="1:4">
      <c r="C12" t="s">
        <v>21</v>
      </c>
      <c r="D12" t="s">
        <v>67</v>
      </c>
    </row>
    <row r="13" spans="1:4">
      <c r="C13" t="s">
        <v>8</v>
      </c>
      <c r="D13" t="s">
        <v>10</v>
      </c>
    </row>
    <row r="14" spans="1:4">
      <c r="C14" t="s">
        <v>167</v>
      </c>
      <c r="D14" t="s">
        <v>30</v>
      </c>
    </row>
    <row r="15" spans="1:4">
      <c r="C15" t="s">
        <v>34</v>
      </c>
      <c r="D15" t="s">
        <v>61</v>
      </c>
    </row>
    <row r="16" spans="1:4">
      <c r="C16" t="s">
        <v>72</v>
      </c>
      <c r="D16" t="s">
        <v>43</v>
      </c>
    </row>
    <row r="17" spans="3:4">
      <c r="C17" t="s">
        <v>102</v>
      </c>
      <c r="D17" t="s">
        <v>169</v>
      </c>
    </row>
    <row r="18" spans="3:4">
      <c r="C18" t="s">
        <v>28</v>
      </c>
      <c r="D18" t="s">
        <v>47</v>
      </c>
    </row>
    <row r="19" spans="3:4">
      <c r="C19" t="s">
        <v>137</v>
      </c>
      <c r="D19" t="s">
        <v>132</v>
      </c>
    </row>
    <row r="20" spans="3:4">
      <c r="C20" t="s">
        <v>130</v>
      </c>
      <c r="D20" t="s">
        <v>154</v>
      </c>
    </row>
    <row r="21" spans="3:4">
      <c r="D21" t="s">
        <v>161</v>
      </c>
    </row>
    <row r="22" spans="3:4">
      <c r="D22" t="s">
        <v>125</v>
      </c>
    </row>
    <row r="23" spans="3:4">
      <c r="D23" t="s">
        <v>104</v>
      </c>
    </row>
    <row r="24" spans="3:4">
      <c r="D24" t="s">
        <v>176</v>
      </c>
    </row>
    <row r="25" spans="3:4">
      <c r="D25" t="s">
        <v>98</v>
      </c>
    </row>
    <row r="26" spans="3:4">
      <c r="D26" t="s">
        <v>80</v>
      </c>
    </row>
    <row r="27" spans="3:4">
      <c r="D27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defaultRowHeight="13.8"/>
  <cols>
    <col min="1" max="1" width="36" customWidth="1"/>
    <col min="2" max="2" width="26" customWidth="1"/>
    <col min="4" max="5" width="42" customWidth="1"/>
  </cols>
  <sheetData>
    <row r="1" spans="1:5">
      <c r="A1" s="2" t="s">
        <v>183</v>
      </c>
      <c r="B1" s="2" t="s">
        <v>184</v>
      </c>
      <c r="D1" s="1" t="s">
        <v>185</v>
      </c>
      <c r="E1" s="1" t="s">
        <v>186</v>
      </c>
    </row>
    <row r="2" spans="1:5">
      <c r="A2" t="s">
        <v>187</v>
      </c>
      <c r="B2">
        <v>26</v>
      </c>
      <c r="D2" t="s">
        <v>34</v>
      </c>
      <c r="E2">
        <v>5</v>
      </c>
    </row>
    <row r="3" spans="1:5">
      <c r="A3" t="s">
        <v>188</v>
      </c>
      <c r="B3">
        <v>19</v>
      </c>
      <c r="D3" t="s">
        <v>8</v>
      </c>
      <c r="E3">
        <v>2</v>
      </c>
    </row>
    <row r="4" spans="1:5">
      <c r="A4" t="s">
        <v>189</v>
      </c>
      <c r="B4">
        <v>8</v>
      </c>
      <c r="D4" t="s">
        <v>91</v>
      </c>
      <c r="E4">
        <v>2</v>
      </c>
    </row>
    <row r="5" spans="1:5">
      <c r="A5" t="s">
        <v>190</v>
      </c>
      <c r="B5">
        <v>6</v>
      </c>
      <c r="D5" t="s">
        <v>102</v>
      </c>
      <c r="E5">
        <v>2</v>
      </c>
    </row>
    <row r="6" spans="1:5">
      <c r="A6" t="s">
        <v>191</v>
      </c>
      <c r="B6">
        <v>9</v>
      </c>
      <c r="D6" t="s">
        <v>21</v>
      </c>
      <c r="E6">
        <v>1</v>
      </c>
    </row>
    <row r="7" spans="1:5">
      <c r="A7" t="s">
        <v>192</v>
      </c>
      <c r="B7">
        <v>5</v>
      </c>
      <c r="D7" t="s">
        <v>28</v>
      </c>
      <c r="E7">
        <v>1</v>
      </c>
    </row>
    <row r="8" spans="1:5">
      <c r="A8" t="s">
        <v>193</v>
      </c>
      <c r="B8">
        <v>3</v>
      </c>
      <c r="D8" t="s">
        <v>59</v>
      </c>
      <c r="E8">
        <v>1</v>
      </c>
    </row>
    <row r="9" spans="1:5">
      <c r="A9" t="s">
        <v>194</v>
      </c>
      <c r="B9">
        <v>10</v>
      </c>
      <c r="D9" t="s">
        <v>72</v>
      </c>
      <c r="E9">
        <v>1</v>
      </c>
    </row>
    <row r="10" spans="1:5">
      <c r="A10" t="s">
        <v>195</v>
      </c>
      <c r="B10">
        <v>2</v>
      </c>
      <c r="D10" t="s">
        <v>78</v>
      </c>
      <c r="E10">
        <v>1</v>
      </c>
    </row>
    <row r="11" spans="1:5">
      <c r="D11" t="s">
        <v>84</v>
      </c>
      <c r="E11">
        <v>1</v>
      </c>
    </row>
    <row r="12" spans="1:5">
      <c r="D12" t="s">
        <v>115</v>
      </c>
      <c r="E12">
        <v>1</v>
      </c>
    </row>
    <row r="13" spans="1:5">
      <c r="D13" t="s">
        <v>123</v>
      </c>
      <c r="E13">
        <v>1</v>
      </c>
    </row>
    <row r="14" spans="1:5">
      <c r="D14" t="s">
        <v>130</v>
      </c>
      <c r="E14">
        <v>1</v>
      </c>
    </row>
    <row r="15" spans="1:5">
      <c r="D15" t="s">
        <v>137</v>
      </c>
      <c r="E15">
        <v>1</v>
      </c>
    </row>
    <row r="16" spans="1:5">
      <c r="D16" t="s">
        <v>143</v>
      </c>
      <c r="E16">
        <v>1</v>
      </c>
    </row>
    <row r="17" spans="4:5">
      <c r="D17" t="s">
        <v>152</v>
      </c>
      <c r="E17">
        <v>1</v>
      </c>
    </row>
    <row r="18" spans="4:5">
      <c r="D18" t="s">
        <v>159</v>
      </c>
      <c r="E18">
        <v>1</v>
      </c>
    </row>
    <row r="19" spans="4:5">
      <c r="D19" t="s">
        <v>167</v>
      </c>
      <c r="E19">
        <v>1</v>
      </c>
    </row>
    <row r="20" spans="4:5">
      <c r="D20" t="s">
        <v>174</v>
      </c>
      <c r="E20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3.8"/>
  <cols>
    <col min="1" max="1" width="40" customWidth="1"/>
    <col min="2" max="2" width="100" customWidth="1"/>
  </cols>
  <sheetData>
    <row r="1" spans="1:2">
      <c r="A1" s="3" t="s">
        <v>196</v>
      </c>
      <c r="B1" s="3" t="s">
        <v>197</v>
      </c>
    </row>
    <row r="2" spans="1:2">
      <c r="A2" t="s">
        <v>198</v>
      </c>
      <c r="B2" t="s">
        <v>199</v>
      </c>
    </row>
    <row r="3" spans="1:2">
      <c r="A3" t="s">
        <v>200</v>
      </c>
      <c r="B3" t="s">
        <v>201</v>
      </c>
    </row>
    <row r="4" spans="1:2">
      <c r="A4" t="s">
        <v>202</v>
      </c>
      <c r="B4" t="s">
        <v>203</v>
      </c>
    </row>
    <row r="5" spans="1:2">
      <c r="A5" t="s">
        <v>204</v>
      </c>
      <c r="B5" t="s">
        <v>205</v>
      </c>
    </row>
    <row r="6" spans="1:2">
      <c r="A6" t="s">
        <v>206</v>
      </c>
      <c r="B6" t="s">
        <v>207</v>
      </c>
    </row>
    <row r="7" spans="1:2">
      <c r="A7" t="s">
        <v>208</v>
      </c>
      <c r="B7" t="s">
        <v>209</v>
      </c>
    </row>
    <row r="8" spans="1:2">
      <c r="A8" t="s">
        <v>210</v>
      </c>
      <c r="B8" t="s">
        <v>211</v>
      </c>
    </row>
    <row r="9" spans="1:2">
      <c r="A9" t="s">
        <v>1</v>
      </c>
      <c r="B9" t="s">
        <v>212</v>
      </c>
    </row>
    <row r="10" spans="1:2">
      <c r="A10" t="s">
        <v>213</v>
      </c>
      <c r="B10" t="s">
        <v>214</v>
      </c>
    </row>
    <row r="11" spans="1:2">
      <c r="A11" t="s">
        <v>215</v>
      </c>
      <c r="B1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plataformas_compartilhamento</vt:lpstr>
      <vt:lpstr>sugestao_por_produto</vt:lpstr>
      <vt:lpstr>listas</vt:lpstr>
      <vt:lpstr>resumo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2026-05-25T20:11:46Z</dcterms:modified>
</cp:coreProperties>
</file>