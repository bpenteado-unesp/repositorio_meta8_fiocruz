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Bruno\Desktop\Fiocruz\SEIDIGI\Meta 8 - Data science epidemiology\5-Repositório\streamlit\repositorio\src\data\"/>
    </mc:Choice>
  </mc:AlternateContent>
  <xr:revisionPtr revIDLastSave="0" documentId="13_ncr:1_{3AB41870-A403-46EA-9D3A-9688807C893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rramentas_execucao" sheetId="1" r:id="rId1"/>
    <sheet name="criterios" sheetId="2" r:id="rId2"/>
    <sheet name="resumo" sheetId="3" r:id="rId3"/>
    <sheet name="sugestao_por_produto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8" i="1" l="1"/>
  <c r="F138" i="1"/>
  <c r="AB137" i="1"/>
  <c r="F137" i="1"/>
  <c r="AB136" i="1"/>
  <c r="F136" i="1"/>
  <c r="AB135" i="1"/>
  <c r="F135" i="1"/>
  <c r="AB134" i="1"/>
  <c r="F134" i="1"/>
  <c r="AB133" i="1"/>
  <c r="F133" i="1"/>
  <c r="AB132" i="1"/>
  <c r="F132" i="1"/>
  <c r="AB131" i="1"/>
  <c r="F131" i="1"/>
  <c r="AB130" i="1"/>
  <c r="F130" i="1"/>
  <c r="AB129" i="1"/>
  <c r="F129" i="1"/>
  <c r="AB128" i="1"/>
  <c r="F128" i="1"/>
  <c r="AB127" i="1"/>
  <c r="F127" i="1"/>
  <c r="AB126" i="1"/>
  <c r="F126" i="1"/>
  <c r="AB125" i="1"/>
  <c r="F125" i="1"/>
  <c r="AB124" i="1"/>
  <c r="F124" i="1"/>
  <c r="AB123" i="1"/>
  <c r="F123" i="1"/>
  <c r="AB122" i="1"/>
  <c r="F122" i="1"/>
  <c r="AB121" i="1"/>
  <c r="F121" i="1"/>
  <c r="AB120" i="1"/>
  <c r="F120" i="1"/>
  <c r="AB119" i="1"/>
  <c r="F119" i="1"/>
  <c r="AB118" i="1"/>
  <c r="F118" i="1"/>
  <c r="AB117" i="1"/>
  <c r="F117" i="1"/>
  <c r="AB116" i="1"/>
  <c r="F116" i="1"/>
  <c r="AB115" i="1"/>
  <c r="F115" i="1"/>
  <c r="AB114" i="1"/>
  <c r="F114" i="1"/>
  <c r="AB113" i="1"/>
  <c r="F113" i="1"/>
  <c r="AB112" i="1"/>
  <c r="F112" i="1"/>
  <c r="AB111" i="1"/>
  <c r="F111" i="1"/>
  <c r="AB110" i="1"/>
  <c r="F110" i="1"/>
  <c r="AB109" i="1"/>
  <c r="F109" i="1"/>
  <c r="AB108" i="1"/>
  <c r="F108" i="1"/>
  <c r="AB107" i="1"/>
  <c r="F107" i="1"/>
  <c r="AB106" i="1"/>
  <c r="F106" i="1"/>
  <c r="AB105" i="1"/>
  <c r="F105" i="1"/>
  <c r="AB104" i="1"/>
  <c r="F104" i="1"/>
  <c r="AB103" i="1"/>
  <c r="F103" i="1"/>
  <c r="AB102" i="1"/>
  <c r="F102" i="1"/>
  <c r="AB101" i="1"/>
  <c r="F101" i="1"/>
  <c r="AB100" i="1"/>
  <c r="F100" i="1"/>
  <c r="AB99" i="1"/>
  <c r="F99" i="1"/>
  <c r="AB98" i="1"/>
  <c r="F98" i="1"/>
  <c r="AB97" i="1"/>
  <c r="F97" i="1"/>
  <c r="AB96" i="1"/>
  <c r="F96" i="1"/>
  <c r="AB95" i="1"/>
  <c r="F95" i="1"/>
  <c r="AB94" i="1"/>
  <c r="F94" i="1"/>
  <c r="AB93" i="1"/>
  <c r="F93" i="1"/>
  <c r="AB92" i="1"/>
  <c r="F92" i="1"/>
  <c r="AB91" i="1"/>
  <c r="F91" i="1"/>
  <c r="AB90" i="1"/>
  <c r="F90" i="1"/>
  <c r="AB89" i="1"/>
  <c r="F89" i="1"/>
  <c r="AB88" i="1"/>
  <c r="F88" i="1"/>
  <c r="AB87" i="1"/>
  <c r="F87" i="1"/>
  <c r="AB86" i="1"/>
  <c r="F86" i="1"/>
  <c r="AB85" i="1"/>
  <c r="F85" i="1"/>
  <c r="AB84" i="1"/>
  <c r="F84" i="1"/>
  <c r="AB83" i="1"/>
  <c r="F83" i="1"/>
  <c r="AB82" i="1"/>
  <c r="F82" i="1"/>
  <c r="AB81" i="1"/>
  <c r="F81" i="1"/>
  <c r="AB80" i="1"/>
  <c r="F80" i="1"/>
  <c r="AB79" i="1"/>
  <c r="F79" i="1"/>
  <c r="AB78" i="1"/>
  <c r="F78" i="1"/>
  <c r="AB77" i="1"/>
  <c r="F77" i="1"/>
  <c r="AB76" i="1"/>
  <c r="F76" i="1"/>
  <c r="AB75" i="1"/>
  <c r="F75" i="1"/>
  <c r="AB74" i="1"/>
  <c r="F74" i="1"/>
  <c r="AB73" i="1"/>
  <c r="F73" i="1"/>
  <c r="AB72" i="1"/>
  <c r="F72" i="1"/>
  <c r="AB71" i="1"/>
  <c r="F71" i="1"/>
  <c r="AB70" i="1"/>
  <c r="F70" i="1"/>
  <c r="AB69" i="1"/>
  <c r="F69" i="1"/>
  <c r="AB68" i="1"/>
  <c r="F68" i="1"/>
  <c r="AB67" i="1"/>
  <c r="F67" i="1"/>
  <c r="AB66" i="1"/>
  <c r="F66" i="1"/>
  <c r="AB65" i="1"/>
  <c r="F65" i="1"/>
  <c r="AB64" i="1"/>
  <c r="F64" i="1"/>
  <c r="AB63" i="1"/>
  <c r="F63" i="1"/>
  <c r="AB62" i="1"/>
  <c r="F62" i="1"/>
  <c r="AB61" i="1"/>
  <c r="F61" i="1"/>
  <c r="AB60" i="1"/>
  <c r="F60" i="1"/>
  <c r="AB59" i="1"/>
  <c r="F59" i="1"/>
  <c r="AB58" i="1"/>
  <c r="F58" i="1"/>
  <c r="AB57" i="1"/>
  <c r="F57" i="1"/>
  <c r="AB56" i="1"/>
  <c r="F56" i="1"/>
  <c r="AB55" i="1"/>
  <c r="F55" i="1"/>
  <c r="AB54" i="1"/>
  <c r="F54" i="1"/>
  <c r="AB53" i="1"/>
  <c r="F53" i="1"/>
  <c r="AB52" i="1"/>
  <c r="F52" i="1"/>
  <c r="AB51" i="1"/>
  <c r="F51" i="1"/>
  <c r="AB50" i="1"/>
  <c r="F50" i="1"/>
  <c r="AB49" i="1"/>
  <c r="F49" i="1"/>
  <c r="AB48" i="1"/>
  <c r="F48" i="1"/>
  <c r="AB47" i="1"/>
  <c r="F47" i="1"/>
  <c r="AB46" i="1"/>
  <c r="F46" i="1"/>
  <c r="AB45" i="1"/>
  <c r="F45" i="1"/>
  <c r="AB44" i="1"/>
  <c r="F44" i="1"/>
  <c r="AB43" i="1"/>
  <c r="F43" i="1"/>
  <c r="AB42" i="1"/>
  <c r="F42" i="1"/>
  <c r="AB41" i="1"/>
  <c r="F41" i="1"/>
  <c r="AB40" i="1"/>
  <c r="F40" i="1"/>
  <c r="AB39" i="1"/>
  <c r="F39" i="1"/>
  <c r="AB38" i="1"/>
  <c r="F38" i="1"/>
  <c r="AB37" i="1"/>
  <c r="F37" i="1"/>
  <c r="AB36" i="1"/>
  <c r="F36" i="1"/>
  <c r="AB35" i="1"/>
  <c r="F35" i="1"/>
  <c r="AB34" i="1"/>
  <c r="F34" i="1"/>
  <c r="AB33" i="1"/>
  <c r="F33" i="1"/>
  <c r="AB32" i="1"/>
  <c r="F32" i="1"/>
  <c r="AB31" i="1"/>
  <c r="F31" i="1"/>
  <c r="AB30" i="1"/>
  <c r="F30" i="1"/>
  <c r="AB29" i="1"/>
  <c r="F29" i="1"/>
  <c r="AB28" i="1"/>
  <c r="F28" i="1"/>
  <c r="AB27" i="1"/>
  <c r="F27" i="1"/>
  <c r="AB26" i="1"/>
  <c r="F26" i="1"/>
  <c r="AB25" i="1"/>
  <c r="F25" i="1"/>
  <c r="AB24" i="1"/>
  <c r="F24" i="1"/>
  <c r="AB23" i="1"/>
  <c r="F23" i="1"/>
  <c r="AB22" i="1"/>
  <c r="F22" i="1"/>
  <c r="AB21" i="1"/>
  <c r="F21" i="1"/>
  <c r="AB20" i="1"/>
  <c r="F20" i="1"/>
  <c r="AB19" i="1"/>
  <c r="F19" i="1"/>
  <c r="AB18" i="1"/>
  <c r="F18" i="1"/>
  <c r="AB17" i="1"/>
  <c r="F17" i="1"/>
  <c r="AB16" i="1"/>
  <c r="F16" i="1"/>
  <c r="AB15" i="1"/>
  <c r="F15" i="1"/>
  <c r="AB14" i="1"/>
  <c r="F14" i="1"/>
  <c r="AB13" i="1"/>
  <c r="F13" i="1"/>
  <c r="AB12" i="1"/>
  <c r="F12" i="1"/>
  <c r="AB11" i="1"/>
  <c r="F11" i="1"/>
  <c r="AB10" i="1"/>
  <c r="F10" i="1"/>
  <c r="AB9" i="1"/>
  <c r="F9" i="1"/>
  <c r="AB8" i="1"/>
  <c r="F8" i="1"/>
  <c r="AB7" i="1"/>
  <c r="F7" i="1"/>
  <c r="AB6" i="1"/>
  <c r="F6" i="1"/>
  <c r="AB5" i="1"/>
  <c r="F5" i="1"/>
  <c r="AB4" i="1"/>
  <c r="F4" i="1"/>
  <c r="AB3" i="1"/>
  <c r="F3" i="1"/>
  <c r="AB2" i="1"/>
  <c r="F2" i="1"/>
</calcChain>
</file>

<file path=xl/sharedStrings.xml><?xml version="1.0" encoding="utf-8"?>
<sst xmlns="http://schemas.openxmlformats.org/spreadsheetml/2006/main" count="2581" uniqueCount="1253">
  <si>
    <t>rank_balanceado</t>
  </si>
  <si>
    <t>rank_popularidade_geral</t>
  </si>
  <si>
    <t>rank_uso_institucional_ve</t>
  </si>
  <si>
    <t>rank_especificidade_ve</t>
  </si>
  <si>
    <t>rank_adequacao_informes</t>
  </si>
  <si>
    <t>score_balanceado</t>
  </si>
  <si>
    <t>popularidade_geral_1a5</t>
  </si>
  <si>
    <t>uso_institucional_ve_1a5</t>
  </si>
  <si>
    <t>especificidade_ve_1a5</t>
  </si>
  <si>
    <t>adequacao_informes_1a5</t>
  </si>
  <si>
    <t>origem_tipo</t>
  </si>
  <si>
    <t>nota_criterio_ranking</t>
  </si>
  <si>
    <t>categoria</t>
  </si>
  <si>
    <t>ferramenta</t>
  </si>
  <si>
    <t>tipo</t>
  </si>
  <si>
    <t>gratuita_ou_paga</t>
  </si>
  <si>
    <t>generica_ou_especifica_ve</t>
  </si>
  <si>
    <t>escopo</t>
  </si>
  <si>
    <t>conteudo_principal</t>
  </si>
  <si>
    <t>uso_no_contexto_ve</t>
  </si>
  <si>
    <t>casos_de_aplicacao_na_area</t>
  </si>
  <si>
    <t>formatos_de_divulgacao</t>
  </si>
  <si>
    <t>publico_alvo</t>
  </si>
  <si>
    <t>potencial_para_ve_e_ciencia_de_dados</t>
  </si>
  <si>
    <t>cuidados_observacoes</t>
  </si>
  <si>
    <t>fonte</t>
  </si>
  <si>
    <t>thumbnail_url</t>
  </si>
  <si>
    <t>thumbnail</t>
  </si>
  <si>
    <t>open source</t>
  </si>
  <si>
    <t>Quarto recebeu score considerando popularidade geral (5/5), uso/aderência institucional em VE (5/5), especificidade para VE (2/5) e adequação para execução de projetos (5/5).</t>
  </si>
  <si>
    <t>Relatórios e publicação reprodutível</t>
  </si>
  <si>
    <t>Quarto</t>
  </si>
  <si>
    <t>Ferramenta para execução de projetos de ciência de dados</t>
  </si>
  <si>
    <t>Gratuita/open source</t>
  </si>
  <si>
    <t>Genérica, com aplicação em VE/ciência de dados</t>
  </si>
  <si>
    <t>Relatórios, artigos, sites, apresentações e dashboards com código</t>
  </si>
  <si>
    <t>Sistema de publicação científica/técnica que integra texto, código e resultados.</t>
  </si>
  <si>
    <t>Alto</t>
  </si>
  <si>
    <t>Boletins epidemiológicos, relatórios automatizados, sites de documentação e apresentações.</t>
  </si>
  <si>
    <t>Projetos; scripts; notebooks; pipelines; relatórios; APIs; logs; artefatos, conforme a ferramenta</t>
  </si>
  <si>
    <t>Cientistas de dados, analistas, epidemiologistas, engenharia de dados, MLOps e equipes de vigilância</t>
  </si>
  <si>
    <t>Avaliar governança, segurança, permissões, curva de aprendizado, integração com o ecossistema institucional e uso com dados sensíveis.</t>
  </si>
  <si>
    <t>https://www.google.com/s2/favicons?domain=quarto.org&amp;sz=64</t>
  </si>
  <si>
    <t>open source/comercial</t>
  </si>
  <si>
    <t>RStudio Desktop / Posit Desktop recebeu score considerando popularidade geral (5/5), uso/aderência institucional em VE (5/5), especificidade para VE (2/5) e adequação para execução de projetos (5/5).</t>
  </si>
  <si>
    <t>IDE e ambiente de desenvolvimento</t>
  </si>
  <si>
    <t>RStudio Desktop / Posit Desktop</t>
  </si>
  <si>
    <t>Gratuito/open source para Desktop; opções comerciais no ecossistema Posit</t>
  </si>
  <si>
    <t>IDE para R, Quarto, Shiny, pacotes e relatórios reprodutíveis</t>
  </si>
  <si>
    <t>IDE consolidada para desenvolvimento em R, com suporte a projetos, Git, pacotes, notebooks e publicação.</t>
  </si>
  <si>
    <t>Análises epidemiológicas em R, pacotes, Shiny, Quarto, R Markdown e reprodutibilidade.</t>
  </si>
  <si>
    <t>https://posit.co/download/rstudio-desktop/</t>
  </si>
  <si>
    <t>https://www.google.com/s2/favicons?domain=posit.co&amp;sz=64</t>
  </si>
  <si>
    <t>Shiny recebeu score considerando popularidade geral (5/5), uso/aderência institucional em VE (5/5), especificidade para VE (2/5) e adequação para execução de projetos (5/5).</t>
  </si>
  <si>
    <t>Aplicações e dashboards R/Python</t>
  </si>
  <si>
    <t>Shiny</t>
  </si>
  <si>
    <t>Open source; hospedagem/Posit Connect pagos</t>
  </si>
  <si>
    <t>Framework para aplicações web interativas</t>
  </si>
  <si>
    <t>Cria apps de dados em R ou Python.</t>
  </si>
  <si>
    <t>Painéis epidemiológicos sob medida, simuladores, filtros e exploração interativa.</t>
  </si>
  <si>
    <t>https://shiny.posit.co/</t>
  </si>
  <si>
    <t>https://www.google.com/s2/favicons?domain=shiny.posit.co&amp;sz=64</t>
  </si>
  <si>
    <t>R Markdown recebeu score considerando popularidade geral (5/5), uso/aderência institucional em VE (5/5), especificidade para VE (2/5) e adequação para execução de projetos (4/5).</t>
  </si>
  <si>
    <t>Relatórios reprodutíveis</t>
  </si>
  <si>
    <t>R Markdown</t>
  </si>
  <si>
    <t>Documentos dinâmicos em R</t>
  </si>
  <si>
    <t>Integra texto, código e resultados em HTML, PDF, Word e slides.</t>
  </si>
  <si>
    <t>Boletins, relatórios técnicos, análises reprodutíveis e documentação de indicadores.</t>
  </si>
  <si>
    <t>https://rmarkdown.rstudio.com/</t>
  </si>
  <si>
    <t>https://www.google.com/s2/favicons?domain=rmarkdown.rstudio.com&amp;sz=64</t>
  </si>
  <si>
    <t>Git recebeu score considerando popularidade geral (5/5), uso/aderência institucional em VE (5/5), especificidade para VE (1/5) e adequação para execução de projetos (5/5).</t>
  </si>
  <si>
    <t>Controle de versão</t>
  </si>
  <si>
    <t>Git</t>
  </si>
  <si>
    <t>Sistema distribuído de controle de versão</t>
  </si>
  <si>
    <t>Ferramenta fundamental para versionar código, branches, merges, tags e histórico de mudanças.</t>
  </si>
  <si>
    <t>Versionamento de scripts, pipelines, relatórios, pacotes e colaboração técnica.</t>
  </si>
  <si>
    <t>https://git-scm.com/doc</t>
  </si>
  <si>
    <t>https://www.google.com/s2/favicons?domain=git-scm.com&amp;sz=64</t>
  </si>
  <si>
    <t>serviço cloud/gerenciado</t>
  </si>
  <si>
    <t>GitHub recebeu score considerando popularidade geral (5/5), uso/aderência institucional em VE (5/5), especificidade para VE (1/5) e adequação para execução de projetos (5/5).</t>
  </si>
  <si>
    <t>Hospedagem Git e colaboração</t>
  </si>
  <si>
    <t>GitHub</t>
  </si>
  <si>
    <t>Freemium; planos pagos para recursos avançados/enterprise</t>
  </si>
  <si>
    <t>Repositórios Git, issues, pull requests, Actions, Packages e Pages</t>
  </si>
  <si>
    <t>Plataforma de colaboração e hospedagem de código com integração a CI/CD e revisão de código.</t>
  </si>
  <si>
    <t>Projetos de ciência de dados versionados, revisão por pares, documentação e automação.</t>
  </si>
  <si>
    <t>https://docs.github.com/</t>
  </si>
  <si>
    <t>https://www.google.com/s2/favicons?domain=docs.github.com&amp;sz=64</t>
  </si>
  <si>
    <t>JupyterLab recebeu score considerando popularidade geral (5/5), uso/aderência institucional em VE (5/5), especificidade para VE (1/5) e adequação para execução de projetos (5/5).</t>
  </si>
  <si>
    <t>Notebooks e computação interativa</t>
  </si>
  <si>
    <t>JupyterLab</t>
  </si>
  <si>
    <t>Gratuita/open source; custos de infraestrutura se hospedado</t>
  </si>
  <si>
    <t>Ambiente web para notebooks, editores, terminais e exploração interativa</t>
  </si>
  <si>
    <t>Interface web do ecossistema Jupyter para notebooks, consoles, arquivos, extensões e visualização.</t>
  </si>
  <si>
    <t>Exploração de dados, prototipagem, ensino, relatórios computacionais e reprodutibilidade.</t>
  </si>
  <si>
    <t>https://docs.jupyter.org/en/latest/</t>
  </si>
  <si>
    <t>https://www.google.com/s2/favicons?domain=docs.jupyter.org&amp;sz=64</t>
  </si>
  <si>
    <t>Visual Studio Code recebeu score considerando popularidade geral (5/5), uso/aderência institucional em VE (5/5), especificidade para VE (1/5) e adequação para execução de projetos (5/5).</t>
  </si>
  <si>
    <t>Visual Studio Code</t>
  </si>
  <si>
    <t>Gratuito; open source em Code - OSS e distribuição Microsoft gratuita</t>
  </si>
  <si>
    <t>Editor/IDE extensível para Python, R, notebooks, Git, containers e desenvolvimento remoto</t>
  </si>
  <si>
    <t>Ambiente de desenvolvimento popular com extensões para Python, Jupyter, Git, Docker, SSH e Dev Containers.</t>
  </si>
  <si>
    <t>Desenvolvimento de pipelines, notebooks versionados, APIs, pacotes, análises e integração com Git.</t>
  </si>
  <si>
    <t>https://code.visualstudio.com/docs</t>
  </si>
  <si>
    <t>https://www.google.com/s2/favicons?domain=code.visualstudio.com&amp;sz=64</t>
  </si>
  <si>
    <t>devtools recebeu score considerando popularidade geral (4/5), uso/aderência institucional em VE (5/5), especificidade para VE (2/5) e adequação para execução de projetos (5/5).</t>
  </si>
  <si>
    <t>Desenvolvimento de pacotes R</t>
  </si>
  <si>
    <t>devtools</t>
  </si>
  <si>
    <t>Ferramentas para desenvolvimento de pacotes R</t>
  </si>
  <si>
    <t>Pacote R para checar, testar, documentar, instalar e publicar pacotes.</t>
  </si>
  <si>
    <t>Bibliotecas internas de indicadores, ETL e análises epidemiológicas.</t>
  </si>
  <si>
    <t>https://devtools.r-lib.org/</t>
  </si>
  <si>
    <t>https://www.google.com/s2/favicons?domain=devtools.r-lib.org&amp;sz=64</t>
  </si>
  <si>
    <t>R Packages / usethis recebeu score considerando popularidade geral (4/5), uso/aderência institucional em VE (5/5), especificidade para VE (2/5) e adequação para execução de projetos (5/5).</t>
  </si>
  <si>
    <t>Estrutura e automação de pacotes R</t>
  </si>
  <si>
    <t>R Packages / usethis</t>
  </si>
  <si>
    <t>Automação de setup de projetos e pacotes R</t>
  </si>
  <si>
    <t>Pacote R para criar arquivos, configurar Git, testes, CI e estrutura de pacotes.</t>
  </si>
  <si>
    <t>Pacotes internos, funções reutilizáveis, padronização de projetos R.</t>
  </si>
  <si>
    <t>https://usethis.r-lib.org/</t>
  </si>
  <si>
    <t>https://www.google.com/s2/favicons?domain=usethis.r-lib.org&amp;sz=64</t>
  </si>
  <si>
    <t>renv recebeu score considerando popularidade geral (4/5), uso/aderência institucional em VE (5/5), especificidade para VE (2/5) e adequação para execução de projetos (5/5).</t>
  </si>
  <si>
    <t>Ambientes e dependências R</t>
  </si>
  <si>
    <t>renv</t>
  </si>
  <si>
    <t>Gerenciador de dependências de projetos R</t>
  </si>
  <si>
    <t>Ferramenta para isolar bibliotecas R por projeto e registrar versões em lockfile.</t>
  </si>
  <si>
    <t>Projetos R reprodutíveis, relatórios epidemiológicos, Shiny e Quarto.</t>
  </si>
  <si>
    <t>https://rstudio.github.io/renv/</t>
  </si>
  <si>
    <t>https://www.google.com/s2/favicons?domain=rstudio.github.io&amp;sz=64</t>
  </si>
  <si>
    <t>testthat recebeu score considerando popularidade geral (4/5), uso/aderência institucional em VE (5/5), especificidade para VE (2/5) e adequação para execução de projetos (5/5).</t>
  </si>
  <si>
    <t>Testes automatizados R</t>
  </si>
  <si>
    <t>testthat</t>
  </si>
  <si>
    <t>Framework de testes para R</t>
  </si>
  <si>
    <t>Pacote R para escrever e rodar testes automatizados.</t>
  </si>
  <si>
    <t>Testar pacotes R, indicadores, funções de ETL e relatórios.</t>
  </si>
  <si>
    <t>https://testthat.r-lib.org/</t>
  </si>
  <si>
    <t>https://www.google.com/s2/favicons?domain=testthat.r-lib.org&amp;sz=64</t>
  </si>
  <si>
    <t>lintr recebeu score considerando popularidade geral (4/5), uso/aderência institucional em VE (5/5), especificidade para VE (2/5) e adequação para execução de projetos (4/5).</t>
  </si>
  <si>
    <t>Lint R</t>
  </si>
  <si>
    <t>lintr</t>
  </si>
  <si>
    <t>Análise estática de código R</t>
  </si>
  <si>
    <t>Pacote R para detectar problemas de estilo e potenciais erros.</t>
  </si>
  <si>
    <t>Padronizar scripts R, pacotes epidemiológicos e relatórios automatizados.</t>
  </si>
  <si>
    <t>https://lintr.r-lib.org/</t>
  </si>
  <si>
    <t>https://www.google.com/s2/favicons?domain=lintr.r-lib.org&amp;sz=64</t>
  </si>
  <si>
    <t>roxygen2 recebeu score considerando popularidade geral (4/5), uso/aderência institucional em VE (5/5), especificidade para VE (2/5) e adequação para execução de projetos (4/5).</t>
  </si>
  <si>
    <t>Documentação de pacotes R</t>
  </si>
  <si>
    <t>roxygen2</t>
  </si>
  <si>
    <t>Documentação inline de funções R</t>
  </si>
  <si>
    <t>Pacote para gerar documentação R a partir de comentários especiais.</t>
  </si>
  <si>
    <t>Documentar funções internas, pacotes e utilitários analíticos.</t>
  </si>
  <si>
    <t>https://roxygen2.r-lib.org/</t>
  </si>
  <si>
    <t>https://www.google.com/s2/favicons?domain=roxygen2.r-lib.org&amp;sz=64</t>
  </si>
  <si>
    <t>styler recebeu score considerando popularidade geral (4/5), uso/aderência institucional em VE (5/5), especificidade para VE (2/5) e adequação para execução de projetos (4/5).</t>
  </si>
  <si>
    <t>Formatação R</t>
  </si>
  <si>
    <t>styler</t>
  </si>
  <si>
    <t>Formatador automático de código R</t>
  </si>
  <si>
    <t>Pacote R para formatar código conforme guias de estilo.</t>
  </si>
  <si>
    <t>Higiene de scripts, pacotes e projetos R em equipe.</t>
  </si>
  <si>
    <t>https://styler.r-lib.org/</t>
  </si>
  <si>
    <t>https://www.google.com/s2/favicons?domain=styler.r-lib.org&amp;sz=64</t>
  </si>
  <si>
    <t>Nextflow recebeu score considerando popularidade geral (4/5), uso/aderência institucional em VE (4/5), especificidade para VE (3/5) e adequação para execução de projetos (5/5).</t>
  </si>
  <si>
    <t>Workflows científicos e bioinformática</t>
  </si>
  <si>
    <t>Nextflow</t>
  </si>
  <si>
    <t>Gratuita/open source; Tower/Seqera pago</t>
  </si>
  <si>
    <t>Workflows escaláveis e portáveis para bioinformática e dados</t>
  </si>
  <si>
    <t>Sistema para pipelines reprodutíveis em ambientes locais, HPC e cloud.</t>
  </si>
  <si>
    <t>Médio/Alto</t>
  </si>
  <si>
    <t>Vigilância genômica, bioinformática, workflows de sequenciamento e portabilidade.</t>
  </si>
  <si>
    <t>https://www.nextflow.io/docs/latest/</t>
  </si>
  <si>
    <t>https://www.google.com/s2/favicons?domain=nextflow.io&amp;sz=64</t>
  </si>
  <si>
    <t>Snakemake recebeu score considerando popularidade geral (4/5), uso/aderência institucional em VE (4/5), especificidade para VE (3/5) e adequação para execução de projetos (5/5).</t>
  </si>
  <si>
    <t>Workflows científicos</t>
  </si>
  <si>
    <t>Snakemake</t>
  </si>
  <si>
    <t>Workflows reprodutíveis orientados a arquivos</t>
  </si>
  <si>
    <t>Sistema de workflows muito usado em bioinformática e computação científica.</t>
  </si>
  <si>
    <t>Pipelines genômicos, reprodutibilidade, dependências por arquivo e HPC.</t>
  </si>
  <si>
    <t>https://snakemake.readthedocs.io/</t>
  </si>
  <si>
    <t>https://www.google.com/s2/favicons?domain=snakemake.readthedocs.io&amp;sz=64</t>
  </si>
  <si>
    <t>Apache Airflow recebeu score considerando popularidade geral (5/5), uso/aderência institucional em VE (4/5), especificidade para VE (1/5) e adequação para execução de projetos (5/5).</t>
  </si>
  <si>
    <t>Orquestração de pipelines</t>
  </si>
  <si>
    <t>Apache Airflow</t>
  </si>
  <si>
    <t>Gratuita/open source; serviços gerenciados pagos existem</t>
  </si>
  <si>
    <t>Orquestração de DAGs, jobs e pipelines de dados</t>
  </si>
  <si>
    <t>Plataforma para agendar, monitorar e orquestrar workflows de dados.</t>
  </si>
  <si>
    <t>ETL/ELT de bases de vigilância, cargas periódicas, validações e publicação de indicadores.</t>
  </si>
  <si>
    <t>https://airflow.apache.org/docs/</t>
  </si>
  <si>
    <t>https://www.google.com/s2/favicons?domain=airflow.apache.org&amp;sz=64</t>
  </si>
  <si>
    <t>Conda recebeu score considerando popularidade geral (5/5), uso/aderência institucional em VE (4/5), especificidade para VE (1/5) e adequação para execução de projetos (5/5).</t>
  </si>
  <si>
    <t>Ambientes e dependências</t>
  </si>
  <si>
    <t>Conda</t>
  </si>
  <si>
    <t>Gerenciador de ambientes e pacotes multi-linguagem</t>
  </si>
  <si>
    <t>Ferramenta para criar ambientes isolados e instalar pacotes binários.</t>
  </si>
  <si>
    <t>Projetos Python/R com dependências complexas, geoespaciais ou científicas.</t>
  </si>
  <si>
    <t>https://docs.conda.io/</t>
  </si>
  <si>
    <t>https://www.google.com/s2/favicons?domain=docs.conda.io&amp;sz=64</t>
  </si>
  <si>
    <t>Docker recebeu score considerando popularidade geral (5/5), uso/aderência institucional em VE (4/5), especificidade para VE (1/5) e adequação para execução de projetos (5/5).</t>
  </si>
  <si>
    <t>Containers e reprodutibilidade de ambiente</t>
  </si>
  <si>
    <t>Docker</t>
  </si>
  <si>
    <t>Docker Engine open source; Docker Desktop/Business conforme licença</t>
  </si>
  <si>
    <t>Containers para empacotar ambientes, dependências e serviços</t>
  </si>
  <si>
    <t>Plataforma para construir, distribuir e executar containers.</t>
  </si>
  <si>
    <t>Ambientes reprodutíveis, APIs, bancos locais, pipelines e deploy de modelos.</t>
  </si>
  <si>
    <t>https://docs.docker.com/</t>
  </si>
  <si>
    <t>https://www.google.com/s2/favicons?domain=docs.docker.com&amp;sz=64</t>
  </si>
  <si>
    <t>Docker Compose recebeu score considerando popularidade geral (5/5), uso/aderência institucional em VE (4/5), especificidade para VE (1/5) e adequação para execução de projetos (5/5).</t>
  </si>
  <si>
    <t>Containers e serviços locais</t>
  </si>
  <si>
    <t>Docker Compose</t>
  </si>
  <si>
    <t>Orquestração local de múltiplos containers</t>
  </si>
  <si>
    <t>Ferramenta para definir e executar aplicações multi-container em YAML.</t>
  </si>
  <si>
    <t>Ambientes com banco, API, notebook, cache e serviços auxiliares de projeto.</t>
  </si>
  <si>
    <t>https://docs.docker.com/compose/</t>
  </si>
  <si>
    <t>GitHub Actions recebeu score considerando popularidade geral (5/5), uso/aderência institucional em VE (4/5), especificidade para VE (1/5) e adequação para execução de projetos (5/5).</t>
  </si>
  <si>
    <t>CI/CD e automação</t>
  </si>
  <si>
    <t>GitHub Actions</t>
  </si>
  <si>
    <t>Freemium; minutos/recursos pagos conforme plano</t>
  </si>
  <si>
    <t>Automação de workflows em repositórios GitHub</t>
  </si>
  <si>
    <t>CI/CD para testes, lint, build, deploy, validação de dados e publicação de relatórios.</t>
  </si>
  <si>
    <t>Rodar testes em PRs, validar dados, publicar Quarto, gerar imagens Docker e atualizar dashboards.</t>
  </si>
  <si>
    <t>https://docs.github.com/en/actions</t>
  </si>
  <si>
    <t>GitHub Issues / Projects recebeu score considerando popularidade geral (5/5), uso/aderência institucional em VE (4/5), especificidade para VE (1/5) e adequação para execução de projetos (5/5).</t>
  </si>
  <si>
    <t>Gestão de issues e projetos</t>
  </si>
  <si>
    <t>GitHub Issues / Projects</t>
  </si>
  <si>
    <t>Incluído no GitHub; recursos variam por plano</t>
  </si>
  <si>
    <t>Issues, boards, roadmaps e automações no GitHub</t>
  </si>
  <si>
    <t>Ferramentas de planejamento e rastreamento integradas a repositórios.</t>
  </si>
  <si>
    <t>Backlog técnico, bugs, revisão de tarefas e gestão de entregas de dados.</t>
  </si>
  <si>
    <t>https://docs.github.com/en/issues</t>
  </si>
  <si>
    <t>Grafana recebeu score considerando popularidade geral (5/5), uso/aderência institucional em VE (4/5), especificidade para VE (1/5) e adequação para execução de projetos (5/5).</t>
  </si>
  <si>
    <t>Dashboards e observabilidade</t>
  </si>
  <si>
    <t>Grafana</t>
  </si>
  <si>
    <t>Open source; Grafana Cloud/Enterprise pagos</t>
  </si>
  <si>
    <t>Dashboards, alertas e observabilidade</t>
  </si>
  <si>
    <t>Plataforma para visualizar métricas, logs, traces e dados de várias fontes.</t>
  </si>
  <si>
    <t>Dashboards operacionais de pipelines, qualidade, atualização e APIs.</t>
  </si>
  <si>
    <t>https://grafana.com/docs/grafana/latest/</t>
  </si>
  <si>
    <t>https://www.google.com/s2/favicons?domain=grafana.com&amp;sz=64</t>
  </si>
  <si>
    <t>open source/padrão</t>
  </si>
  <si>
    <t>JSON Schema recebeu score considerando popularidade geral (5/5), uso/aderência institucional em VE (4/5), especificidade para VE (1/5) e adequação para execução de projetos (5/5).</t>
  </si>
  <si>
    <t>Schemas e contratos de dados</t>
  </si>
  <si>
    <t>JSON Schema</t>
  </si>
  <si>
    <t>Padrão aberto; implementações gratuitas e comerciais</t>
  </si>
  <si>
    <t>Padrão para validar documentos JSON</t>
  </si>
  <si>
    <t>Vocabulário para anotar e validar estrutura de documentos JSON.</t>
  </si>
  <si>
    <t>Contratos de APIs, validação de metadados, integrações e interoperabilidade.</t>
  </si>
  <si>
    <t>https://json-schema.org/</t>
  </si>
  <si>
    <t>https://www.google.com/s2/favicons?domain=json-schema.org&amp;sz=64</t>
  </si>
  <si>
    <t>MLflow recebeu score considerando popularidade geral (5/5), uso/aderência institucional em VE (4/5), especificidade para VE (1/5) e adequação para execução de projetos (5/5).</t>
  </si>
  <si>
    <t>MLOps e rastreamento de experimentos</t>
  </si>
  <si>
    <t>MLflow</t>
  </si>
  <si>
    <t>Open source; Databricks/serviços gerenciados pagos</t>
  </si>
  <si>
    <t>Tracking, model registry, packaging, avaliação e deployment</t>
  </si>
  <si>
    <t>Plataforma aberta para gerenciar ciclo de vida de modelos, experimentos e artefatos.</t>
  </si>
  <si>
    <t>Rastrear experimentos, registrar modelos, comparar métricas e preparar deploy.</t>
  </si>
  <si>
    <t>https://mlflow.org/docs/latest/</t>
  </si>
  <si>
    <t>https://www.google.com/s2/favicons?domain=mlflow.org&amp;sz=64</t>
  </si>
  <si>
    <t>OpenAPI / Swagger recebeu score considerando popularidade geral (5/5), uso/aderência institucional em VE (4/5), especificidade para VE (1/5) e adequação para execução de projetos (5/5).</t>
  </si>
  <si>
    <t>Contratos e documentação de APIs</t>
  </si>
  <si>
    <t>OpenAPI / Swagger</t>
  </si>
  <si>
    <t>Padrão aberto; ferramentas gratuitas e comerciais</t>
  </si>
  <si>
    <t>Especificação para descrever APIs HTTP</t>
  </si>
  <si>
    <t>Padrão para definir endpoints, parâmetros, schemas, autenticação e respostas.</t>
  </si>
  <si>
    <t>Documentar APIs de indicadores, modelos e serviços de dados.</t>
  </si>
  <si>
    <t>https://swagger.io/specification/</t>
  </si>
  <si>
    <t>https://www.google.com/s2/favicons?domain=swagger.io&amp;sz=64</t>
  </si>
  <si>
    <t>pre-commit recebeu score considerando popularidade geral (5/5), uso/aderência institucional em VE (4/5), especificidade para VE (1/5) e adequação para execução de projetos (5/5).</t>
  </si>
  <si>
    <t>Qualidade de código e hooks</t>
  </si>
  <si>
    <t>pre-commit</t>
  </si>
  <si>
    <t>Framework para hooks Git antes de commits</t>
  </si>
  <si>
    <t>Executa checagens automáticas como formatadores, linters, detecção de secrets e validações.</t>
  </si>
  <si>
    <t>Padronizar qualidade antes de pull requests, prevenir arquivos grandes/secrets e reduzir erros triviais.</t>
  </si>
  <si>
    <t>https://pre-commit.com/</t>
  </si>
  <si>
    <t>https://www.google.com/s2/favicons?domain=pre-commit.com&amp;sz=64</t>
  </si>
  <si>
    <t>Pydantic recebeu score considerando popularidade geral (5/5), uso/aderência institucional em VE (4/5), especificidade para VE (1/5) e adequação para execução de projetos (5/5).</t>
  </si>
  <si>
    <t>Validação de dados e APIs</t>
  </si>
  <si>
    <t>Pydantic</t>
  </si>
  <si>
    <t>Validação de dados Python por modelos tipados</t>
  </si>
  <si>
    <t>Biblioteca para validação de dados, configurações, APIs e objetos estruturados.</t>
  </si>
  <si>
    <t>Validação de payloads, configurações, schemas de APIs e ingestão de dados.</t>
  </si>
  <si>
    <t>https://docs.pydantic.dev/</t>
  </si>
  <si>
    <t>https://www.google.com/s2/favicons?domain=docs.pydantic.dev&amp;sz=64</t>
  </si>
  <si>
    <t>pytest recebeu score considerando popularidade geral (5/5), uso/aderência institucional em VE (4/5), especificidade para VE (1/5) e adequação para execução de projetos (5/5).</t>
  </si>
  <si>
    <t>Testes automatizados Python</t>
  </si>
  <si>
    <t>pytest</t>
  </si>
  <si>
    <t>Framework de testes Python</t>
  </si>
  <si>
    <t>Ferramenta popular para testes unitários, integração, fixtures e plugins.</t>
  </si>
  <si>
    <t>Testar funções de limpeza, indicadores, modelos, APIs e pacotes.</t>
  </si>
  <si>
    <t>https://docs.pytest.org/</t>
  </si>
  <si>
    <t>https://www.google.com/s2/favicons?domain=docs.pytest.org&amp;sz=64</t>
  </si>
  <si>
    <t>Ruff recebeu score considerando popularidade geral (5/5), uso/aderência institucional em VE (4/5), especificidade para VE (1/5) e adequação para execução de projetos (5/5).</t>
  </si>
  <si>
    <t>Lint e formatação Python</t>
  </si>
  <si>
    <t>Ruff</t>
  </si>
  <si>
    <t>Linter e formatador Python rápido</t>
  </si>
  <si>
    <t>Ferramenta para lint, formatação e substituição de várias ferramentas Python.</t>
  </si>
  <si>
    <t>Padronizar scripts, notebooks convertidos, pacotes e APIs em Python.</t>
  </si>
  <si>
    <t>https://docs.astral.sh/ruff/</t>
  </si>
  <si>
    <t>https://www.google.com/s2/favicons?domain=docs.astral.sh&amp;sz=64</t>
  </si>
  <si>
    <t>Streamlit recebeu score considerando popularidade geral (5/5), uso/aderência institucional em VE (4/5), especificidade para VE (1/5) e adequação para execução de projetos (5/5).</t>
  </si>
  <si>
    <t>Aplicações e protótipos de dados</t>
  </si>
  <si>
    <t>Streamlit</t>
  </si>
  <si>
    <t>Open source; Community Cloud/Enterprise com modalidades distintas</t>
  </si>
  <si>
    <t>Framework Python para data apps</t>
  </si>
  <si>
    <t>Cria aplicações interativas rapidamente a partir de scripts Python.</t>
  </si>
  <si>
    <t>Protótipos, apps de exploração, demos de modelos e interfaces para gestores.</t>
  </si>
  <si>
    <t>https://docs.streamlit.io/</t>
  </si>
  <si>
    <t>https://www.google.com/s2/favicons?domain=docs.streamlit.io&amp;sz=64</t>
  </si>
  <si>
    <t>Black recebeu score considerando popularidade geral (5/5), uso/aderência institucional em VE (4/5), especificidade para VE (1/5) e adequação para execução de projetos (4/5).</t>
  </si>
  <si>
    <t>Formatação Python</t>
  </si>
  <si>
    <t>Black</t>
  </si>
  <si>
    <t>Formatador opinativo de código Python</t>
  </si>
  <si>
    <t>Ferramenta para formatar código Python automaticamente.</t>
  </si>
  <si>
    <t>Padronização de estilo e redução de discussão em revisão de código.</t>
  </si>
  <si>
    <t>https://black.readthedocs.io/</t>
  </si>
  <si>
    <t>https://www.google.com/s2/favicons?domain=black.readthedocs.io&amp;sz=64</t>
  </si>
  <si>
    <t>Jupyter Notebook recebeu score considerando popularidade geral (5/5), uso/aderência institucional em VE (4/5), especificidade para VE (1/5) e adequação para execução de projetos (4/5).</t>
  </si>
  <si>
    <t>Jupyter Notebook</t>
  </si>
  <si>
    <t>Aplicação web clássica para notebooks executáveis</t>
  </si>
  <si>
    <t>Ambiente para combinar código, texto, gráficos e resultados em documentos executáveis.</t>
  </si>
  <si>
    <t>Ensino, análises reprodutíveis, prototipagem e documentação de métodos.</t>
  </si>
  <si>
    <t>https://jupyter-notebook.readthedocs.io/</t>
  </si>
  <si>
    <t>https://www.google.com/s2/favicons?domain=jupyter-notebook.readthedocs.io&amp;sz=64</t>
  </si>
  <si>
    <t>Cookiecutter Data Science recebeu score considerando popularidade geral (4/5), uso/aderência institucional em VE (4/5), especificidade para VE (1/5) e adequação para execução de projetos (5/5).</t>
  </si>
  <si>
    <t>Estrutura de projetos</t>
  </si>
  <si>
    <t>Cookiecutter Data Science</t>
  </si>
  <si>
    <t>Template de estrutura de projetos de ciência de dados</t>
  </si>
  <si>
    <t>Template para organizar dados, notebooks, scripts, modelos e documentação.</t>
  </si>
  <si>
    <t>Padronizar projetos, onboarding e separação entre dados brutos, processados e modelos.</t>
  </si>
  <si>
    <t>https://cookiecutter-data-science.drivendata.org/</t>
  </si>
  <si>
    <t>https://www.google.com/s2/favicons?domain=cookiecutter-data-science.drivendata.org&amp;sz=64</t>
  </si>
  <si>
    <t>Dev Containers recebeu score considerando popularidade geral (4/5), uso/aderência institucional em VE (4/5), especificidade para VE (1/5) e adequação para execução de projetos (5/5).</t>
  </si>
  <si>
    <t>Ambientes de desenvolvimento reprodutíveis</t>
  </si>
  <si>
    <t>Dev Containers</t>
  </si>
  <si>
    <t>Especificação aberta; execução depende da infraestrutura</t>
  </si>
  <si>
    <t>Especificação para ambientes de desenvolvimento em containers</t>
  </si>
  <si>
    <t>Padrão para definir ambientes completos de desenvolvimento portáveis.</t>
  </si>
  <si>
    <t>Projetos reprodutíveis com VS Code, GitHub Codespaces e ambientes padronizados.</t>
  </si>
  <si>
    <t>https://containers.dev/</t>
  </si>
  <si>
    <t>https://www.google.com/s2/favicons?domain=containers.dev&amp;sz=64</t>
  </si>
  <si>
    <t>DVC recebeu score considerando popularidade geral (4/5), uso/aderência institucional em VE (4/5), especificidade para VE (1/5) e adequação para execução de projetos (5/5).</t>
  </si>
  <si>
    <t>Versionamento de dados e modelos</t>
  </si>
  <si>
    <t>DVC</t>
  </si>
  <si>
    <t>Open source; DVC Studio pago/freemium</t>
  </si>
  <si>
    <t>Versionamento Git-like para dados, modelos e experimentos</t>
  </si>
  <si>
    <t>Ferramenta para versionar dados/modelos fora do Git e registrar pipelines/experimentos.</t>
  </si>
  <si>
    <t>Rastrear datasets, modelos, métricas e pipelines reprodutíveis.</t>
  </si>
  <si>
    <t>https://dvc.org/doc</t>
  </si>
  <si>
    <t>https://www.google.com/s2/favicons?domain=dvc.org&amp;sz=64</t>
  </si>
  <si>
    <t>Evidently recebeu score considerando popularidade geral (4/5), uso/aderência institucional em VE (4/5), especificidade para VE (1/5) e adequação para execução de projetos (5/5).</t>
  </si>
  <si>
    <t>Monitoramento de modelos e dados</t>
  </si>
  <si>
    <t>Evidently</t>
  </si>
  <si>
    <t>Open source; Evidently Cloud pago</t>
  </si>
  <si>
    <t>Data drift, model monitoring, relatórios e testes</t>
  </si>
  <si>
    <t>Framework para avaliar, testar e monitorar modelos e dados em produção.</t>
  </si>
  <si>
    <t>Monitorar drift, qualidade de features, performance e relatórios de modelos.</t>
  </si>
  <si>
    <t>https://docs.evidentlyai.com/</t>
  </si>
  <si>
    <t>https://www.google.com/s2/favicons?domain=docs.evidentlyai.com&amp;sz=64</t>
  </si>
  <si>
    <t>GitLab recebeu score considerando popularidade geral (4/5), uso/aderência institucional em VE (4/5), especificidade para VE (1/5) e adequação para execução de projetos (5/5).</t>
  </si>
  <si>
    <t>Hospedagem Git, DevOps e CI/CD</t>
  </si>
  <si>
    <t>GitLab</t>
  </si>
  <si>
    <t>Community open source; SaaS/Enterprise pagos</t>
  </si>
  <si>
    <t>Repositórios Git, issues, merge requests, CI/CD, registry e DevSecOps</t>
  </si>
  <si>
    <t>Plataforma integrada para desenvolvimento, automação, segurança e entrega.</t>
  </si>
  <si>
    <t>Projetos institucionais com versionamento, pipelines, deploys e controle de acesso.</t>
  </si>
  <si>
    <t>https://docs.gitlab.com/</t>
  </si>
  <si>
    <t>https://www.google.com/s2/favicons?domain=docs.gitlab.com&amp;sz=64</t>
  </si>
  <si>
    <t>GitLab CI/CD recebeu score considerando popularidade geral (4/5), uso/aderência institucional em VE (4/5), especificidade para VE (1/5) e adequação para execução de projetos (5/5).</t>
  </si>
  <si>
    <t>GitLab CI/CD</t>
  </si>
  <si>
    <t>Community/Free disponível; recursos pagos em planos superiores</t>
  </si>
  <si>
    <t>Pipelines integrados a repositórios GitLab</t>
  </si>
  <si>
    <t>Sistema de CI/CD declarativo com runners, stages, artifacts e deploy.</t>
  </si>
  <si>
    <t>Validação de pipelines de dados, testes de pacotes, deploy de APIs e automação institucional.</t>
  </si>
  <si>
    <t>https://docs.gitlab.com/ee/ci/</t>
  </si>
  <si>
    <t>Gitleaks recebeu score considerando popularidade geral (4/5), uso/aderência institucional em VE (4/5), especificidade para VE (1/5) e adequação para execução de projetos (5/5).</t>
  </si>
  <si>
    <t>Detecção de secrets</t>
  </si>
  <si>
    <t>Gitleaks</t>
  </si>
  <si>
    <t>Open source; ofertas comerciais podem existir</t>
  </si>
  <si>
    <t>Scanner de segredos em repositórios Git</t>
  </si>
  <si>
    <t>Ferramenta para detectar tokens, chaves e credenciais em código/histórico.</t>
  </si>
  <si>
    <t>Prevenir vazamento de credenciais de bancos, APIs e ambientes de dados.</t>
  </si>
  <si>
    <t>https://gitleaks.io/</t>
  </si>
  <si>
    <t>https://www.google.com/s2/favicons?domain=gitleaks.io&amp;sz=64</t>
  </si>
  <si>
    <t>Great Expectations recebeu score considerando popularidade geral (4/5), uso/aderência institucional em VE (4/5), especificidade para VE (1/5) e adequação para execução de projetos (5/5).</t>
  </si>
  <si>
    <t>Validação e qualidade de dados</t>
  </si>
  <si>
    <t>Great Expectations</t>
  </si>
  <si>
    <t>GX Core open source; GX Cloud pago</t>
  </si>
  <si>
    <t>Expectations, validações, documentação de dados e checkpoints</t>
  </si>
  <si>
    <t>Framework para validar dados contra regras/expectativas e gerar documentação de qualidade.</t>
  </si>
  <si>
    <t>Contratos de dados, checagem de completude, faixas válidas, consistência e relatórios de qualidade.</t>
  </si>
  <si>
    <t>https://docs.greatexpectations.io/docs/core/run_validations/</t>
  </si>
  <si>
    <t>https://www.google.com/s2/favicons?domain=docs.greatexpectations.io&amp;sz=64</t>
  </si>
  <si>
    <t>open source/serviço gerenciado</t>
  </si>
  <si>
    <t>JupyterHub recebeu score considerando popularidade geral (4/5), uso/aderência institucional em VE (4/5), especificidade para VE (1/5) e adequação para execução de projetos (5/5).</t>
  </si>
  <si>
    <t>Notebooks e ambiente multiusuário</t>
  </si>
  <si>
    <t>JupyterHub</t>
  </si>
  <si>
    <t>Gratuita/open source; custos de infraestrutura/administração</t>
  </si>
  <si>
    <t>Servidor multiusuário de notebooks para equipes, turmas e instituições</t>
  </si>
  <si>
    <t>Plataforma para prover ambientes Jupyter a múltiplos usuários com autenticação e isolamento.</t>
  </si>
  <si>
    <t>Capacitação, laboratórios de dados, ambientes seguros e projetos colaborativos.</t>
  </si>
  <si>
    <t>https://jupyterhub.readthedocs.io/</t>
  </si>
  <si>
    <t>https://www.google.com/s2/favicons?domain=jupyterhub.readthedocs.io&amp;sz=64</t>
  </si>
  <si>
    <t>Pandera recebeu score considerando popularidade geral (4/5), uso/aderência institucional em VE (4/5), especificidade para VE (1/5) e adequação para execução de projetos (5/5).</t>
  </si>
  <si>
    <t>Pandera</t>
  </si>
  <si>
    <t>Validação de schemas para pandas, polars e outros backends</t>
  </si>
  <si>
    <t>Biblioteca Python para declarar schemas e validar DataFrames.</t>
  </si>
  <si>
    <t>Validar tipos, faixas, categorias, nulos e regras de bases epidemiológicas.</t>
  </si>
  <si>
    <t>https://pandera.readthedocs.io/</t>
  </si>
  <si>
    <t>https://www.google.com/s2/favicons?domain=pandera.readthedocs.io&amp;sz=64</t>
  </si>
  <si>
    <t>dbt tests recebeu score considerando popularidade geral (5/5), uso/aderência institucional em VE (3/5), especificidade para VE (1/5) e adequação para execução de projetos (5/5).</t>
  </si>
  <si>
    <t>Transformação e validação SQL</t>
  </si>
  <si>
    <t>dbt tests</t>
  </si>
  <si>
    <t>dbt Core open source; dbt Cloud pago</t>
  </si>
  <si>
    <t>Testes e documentação em projetos dbt</t>
  </si>
  <si>
    <t>Mecanismo de testes para modelos SQL, constraints e regras de dados.</t>
  </si>
  <si>
    <t>Médio</t>
  </si>
  <si>
    <t>Validação de modelos analíticos, camadas semânticas e indicadores em warehouse.</t>
  </si>
  <si>
    <t>https://docs.getdbt.com/docs/build/data-tests</t>
  </si>
  <si>
    <t>https://www.google.com/s2/favicons?domain=docs.getdbt.com&amp;sz=64</t>
  </si>
  <si>
    <t>Bookdown recebeu score considerando popularidade geral (4/5), uso/aderência institucional em VE (4/5), especificidade para VE (1/5) e adequação para execução de projetos (4/5).</t>
  </si>
  <si>
    <t>Livros e documentação técnica</t>
  </si>
  <si>
    <t>Bookdown</t>
  </si>
  <si>
    <t>Livros e documentos longos reprodutíveis com R Markdown</t>
  </si>
  <si>
    <t>Pacote para gerar livros, manuais e documentos longos.</t>
  </si>
  <si>
    <t>Manuais de indicadores, guias de análise e documentação institucional.</t>
  </si>
  <si>
    <t>https://bookdown.org/</t>
  </si>
  <si>
    <t>https://www.google.com/s2/favicons?domain=bookdown.org&amp;sz=64</t>
  </si>
  <si>
    <t>GitLab Issues / Boards recebeu score considerando popularidade geral (4/5), uso/aderência institucional em VE (4/5), especificidade para VE (1/5) e adequação para execução de projetos (4/5).</t>
  </si>
  <si>
    <t>GitLab Issues / Boards</t>
  </si>
  <si>
    <t>Issues, boards e milestones integrados ao GitLab</t>
  </si>
  <si>
    <t>Ferramentas de planejamento e acompanhamento de projeto no GitLab.</t>
  </si>
  <si>
    <t>Backlog, tarefas técnicas, revisão e governança em ambientes auto-hospedados.</t>
  </si>
  <si>
    <t>https://docs.gitlab.com/ee/user/project/issues/</t>
  </si>
  <si>
    <t>Jupyter Book recebeu score considerando popularidade geral (4/5), uso/aderência institucional em VE (4/5), especificidade para VE (1/5) e adequação para execução de projetos (4/5).</t>
  </si>
  <si>
    <t>Documentação computacional</t>
  </si>
  <si>
    <t>Jupyter Book</t>
  </si>
  <si>
    <t>Livros e sites com notebooks e Markdown</t>
  </si>
  <si>
    <t>Ferramenta para criar livros/sites computacionais com notebooks.</t>
  </si>
  <si>
    <t>Cursos, manuais reprodutíveis, materiais de capacitação e documentação analítica.</t>
  </si>
  <si>
    <t>https://jupyterbook.org/</t>
  </si>
  <si>
    <t>https://www.google.com/s2/favicons?domain=jupyterbook.org&amp;sz=64</t>
  </si>
  <si>
    <t>nbstripout recebeu score considerando popularidade geral (4/5), uso/aderência institucional em VE (4/5), especificidade para VE (1/5) e adequação para execução de projetos (4/5).</t>
  </si>
  <si>
    <t>Limpeza de notebooks para Git</t>
  </si>
  <si>
    <t>nbstripout</t>
  </si>
  <si>
    <t>Remove outputs e metadados de notebooks antes de versionar</t>
  </si>
  <si>
    <t>Ferramenta para reduzir ruído e tamanho de diffs em notebooks.</t>
  </si>
  <si>
    <t>Versionar notebooks sem resultados sensíveis ou outputs grandes.</t>
  </si>
  <si>
    <t>https://github.com/kynan/nbstripout</t>
  </si>
  <si>
    <t>https://www.google.com/s2/favicons?domain=github.com&amp;sz=64</t>
  </si>
  <si>
    <t>GitHub Pages recebeu score considerando popularidade geral (5/5), uso/aderência institucional em VE (3/5), especificidade para VE (1/5) e adequação para execução de projetos (4/5).</t>
  </si>
  <si>
    <t>Publicação estática</t>
  </si>
  <si>
    <t>GitHub Pages</t>
  </si>
  <si>
    <t>Gratuito para muitos usos; planos conforme GitHub</t>
  </si>
  <si>
    <t>Hospedagem de sites estáticos a partir de repositórios GitHub</t>
  </si>
  <si>
    <t>Serviço para publicar sites, relatórios HTML e documentação.</t>
  </si>
  <si>
    <t>Publicar docs, relatórios Quarto, sites de projeto e materiais de treinamento.</t>
  </si>
  <si>
    <t>https://docs.github.com/en/pages</t>
  </si>
  <si>
    <t>Google Colab recebeu score considerando popularidade geral (5/5), uso/aderência institucional em VE (3/5), especificidade para VE (1/5) e adequação para execução de projetos (4/5).</t>
  </si>
  <si>
    <t>Notebooks cloud</t>
  </si>
  <si>
    <t>Google Colab</t>
  </si>
  <si>
    <t>Gratuito com limites; planos pagos Colab Pro/Pro+</t>
  </si>
  <si>
    <t>Notebooks Python hospedados com execução em nuvem</t>
  </si>
  <si>
    <t>Serviço de notebooks executáveis no navegador, com integração ao Google Drive e GPUs em planos específicos.</t>
  </si>
  <si>
    <t>Treinamento, protótipos com dados abertos/sintéticos, notebooks de demonstração e ensino.</t>
  </si>
  <si>
    <t>https://colab.research.google.com/</t>
  </si>
  <si>
    <t>https://www.google.com/s2/favicons?domain=colab.research.google.com&amp;sz=64</t>
  </si>
  <si>
    <t>comercial/freemium</t>
  </si>
  <si>
    <t>Jira recebeu score considerando popularidade geral (5/5), uso/aderência institucional em VE (3/5), especificidade para VE (1/5) e adequação para execução de projetos (4/5).</t>
  </si>
  <si>
    <t>Gestão de projetos e issues</t>
  </si>
  <si>
    <t>Jira</t>
  </si>
  <si>
    <t>Freemium; planos pagos</t>
  </si>
  <si>
    <t>Gestão de tarefas, sprints, bugs e fluxos de trabalho</t>
  </si>
  <si>
    <t>Plataforma Atlassian para planejamento e acompanhamento de projetos.</t>
  </si>
  <si>
    <t>Governança de backlog, demandas de dados, bugs, versões e entregas.</t>
  </si>
  <si>
    <t>https://support.atlassian.com/jira-software-cloud/</t>
  </si>
  <si>
    <t>https://www.google.com/s2/favicons?domain=support.atlassian.com&amp;sz=64</t>
  </si>
  <si>
    <t>Kaggle Notebooks recebeu score considerando popularidade geral (5/5), uso/aderência institucional em VE (3/5), especificidade para VE (1/5) e adequação para execução de projetos (4/5).</t>
  </si>
  <si>
    <t>Notebooks cloud e datasets</t>
  </si>
  <si>
    <t>Kaggle Notebooks</t>
  </si>
  <si>
    <t>Gratuito com limites de recursos</t>
  </si>
  <si>
    <t>Notebooks executáveis integrados a datasets e competições</t>
  </si>
  <si>
    <t>Ambiente cloud para notebooks, datasets, GPUs limitadas e compartilhamento público.</t>
  </si>
  <si>
    <t>Capacitação, benchmarking, protótipos com dados abertos e notebooks públicos.</t>
  </si>
  <si>
    <t>https://www.kaggle.com/code</t>
  </si>
  <si>
    <t>https://www.google.com/s2/favicons?domain=kaggle.com&amp;sz=64</t>
  </si>
  <si>
    <t>Prometheus recebeu score considerando popularidade geral (5/5), uso/aderência institucional em VE (3/5), especificidade para VE (1/5) e adequação para execução de projetos (4/5).</t>
  </si>
  <si>
    <t>Observabilidade e métricas</t>
  </si>
  <si>
    <t>Prometheus</t>
  </si>
  <si>
    <t>Coleta de métricas e alertas</t>
  </si>
  <si>
    <t>Sistema open source de monitoramento e séries temporais.</t>
  </si>
  <si>
    <t>Monitorar APIs, jobs, pipelines, latência e disponibilidade de serviços analíticos.</t>
  </si>
  <si>
    <t>https://prometheus.io/docs/</t>
  </si>
  <si>
    <t>https://www.google.com/s2/favicons?domain=prometheus.io&amp;sz=64</t>
  </si>
  <si>
    <t>Weights &amp; Biases recebeu score considerando popularidade geral (5/5), uso/aderência institucional em VE (3/5), especificidade para VE (1/5) e adequação para execução de projetos (4/5).</t>
  </si>
  <si>
    <t>MLOps e experiment tracking</t>
  </si>
  <si>
    <t>Weights &amp; Biases</t>
  </si>
  <si>
    <t>Freemium; planos pagos/enterprise</t>
  </si>
  <si>
    <t>Tracking de experimentos, artefatos, sweeps e model registry</t>
  </si>
  <si>
    <t>Plataforma colaborativa para ML, logs, métricas e visualizações.</t>
  </si>
  <si>
    <t>Experimentos de ML, comparação de modelos, auditoria e colaboração.</t>
  </si>
  <si>
    <t>https://docs.wandb.ai/</t>
  </si>
  <si>
    <t>https://www.google.com/s2/favicons?domain=docs.wandb.ai&amp;sz=64</t>
  </si>
  <si>
    <t>Notion recebeu score considerando popularidade geral (5/5), uso/aderência institucional em VE (3/5), especificidade para VE (1/5) e adequação para execução de projetos (3/5).</t>
  </si>
  <si>
    <t>Documentação e gestão de conhecimento</t>
  </si>
  <si>
    <t>Notion</t>
  </si>
  <si>
    <t>Docs, wikis, bancos de dados e gestão de tarefas</t>
  </si>
  <si>
    <t>Workspace para documentação, notas, bases de conhecimento e planejamento.</t>
  </si>
  <si>
    <t>Organizar decisões, glossários, documentação de indicadores e atas de projeto.</t>
  </si>
  <si>
    <t>https://www.notion.com/help</t>
  </si>
  <si>
    <t>https://www.google.com/s2/favicons?domain=notion.com&amp;sz=64</t>
  </si>
  <si>
    <t>Trello recebeu score considerando popularidade geral (5/5), uso/aderência institucional em VE (3/5), especificidade para VE (1/5) e adequação para execução de projetos (3/5).</t>
  </si>
  <si>
    <t>Gestão visual de tarefas</t>
  </si>
  <si>
    <t>Trello</t>
  </si>
  <si>
    <t>Quadros Kanban simples para tarefas</t>
  </si>
  <si>
    <t>Ferramenta visual para planejar e acompanhar atividades em cartões.</t>
  </si>
  <si>
    <t>Planejamento simples de sprints, oficinas e projetos menores.</t>
  </si>
  <si>
    <t>https://support.atlassian.com/trello/</t>
  </si>
  <si>
    <t>goodpractice recebeu score considerando popularidade geral (3/5), uso/aderência institucional em VE (4/5), especificidade para VE (2/5) e adequação para execução de projetos (4/5).</t>
  </si>
  <si>
    <t>Qualidade de pacotes R</t>
  </si>
  <si>
    <t>goodpractice</t>
  </si>
  <si>
    <t>Checklist automatizado para pacotes R</t>
  </si>
  <si>
    <t>Pacote para avaliar boas práticas em pacotes R.</t>
  </si>
  <si>
    <t>Desenvolvimento de pacotes internos e utilitários epidemiológicos.</t>
  </si>
  <si>
    <t>https://docs.ropensci.org/goodpractice/</t>
  </si>
  <si>
    <t>https://www.google.com/s2/favicons?domain=docs.ropensci.org&amp;sz=64</t>
  </si>
  <si>
    <t>Frictionless Framework recebeu score considerando popularidade geral (3/5), uso/aderência institucional em VE (4/5), especificidade para VE (1/5) e adequação para execução de projetos (5/5).</t>
  </si>
  <si>
    <t>Validação e pacotes de dados</t>
  </si>
  <si>
    <t>Frictionless Framework</t>
  </si>
  <si>
    <t>Data Package, schemas tabulares e validação de recursos</t>
  </si>
  <si>
    <t>Conjunto de ferramentas para descrever, validar e empacotar dados tabulares.</t>
  </si>
  <si>
    <t>Publicação de datasets, dicionários de dados e validação de CSVs.</t>
  </si>
  <si>
    <t>https://framework.frictionlessdata.io/</t>
  </si>
  <si>
    <t>https://www.google.com/s2/favicons?domain=framework.frictionlessdata.io&amp;sz=64</t>
  </si>
  <si>
    <t>Positron recebeu score considerando popularidade geral (3/5), uso/aderência institucional em VE (4/5), especificidade para VE (1/5) e adequação para execução de projetos (5/5).</t>
  </si>
  <si>
    <t>Positron</t>
  </si>
  <si>
    <t>IDE moderna para ciência de dados em Python e R</t>
  </si>
  <si>
    <t>Ambiente de desenvolvimento orientado a ciência de dados, com suporte a notebooks, console, variáveis e visualização.</t>
  </si>
  <si>
    <t>Projetos R/Python, exploração de dados, protótipos, scripts e relatórios reprodutíveis.</t>
  </si>
  <si>
    <t>https://positron.posit.co/</t>
  </si>
  <si>
    <t>https://www.google.com/s2/favicons?domain=positron.posit.co&amp;sz=64</t>
  </si>
  <si>
    <t>Dagster recebeu score considerando popularidade geral (4/5), uso/aderência institucional em VE (3/5), especificidade para VE (1/5) e adequação para execução de projetos (5/5).</t>
  </si>
  <si>
    <t>Dagster</t>
  </si>
  <si>
    <t>Open source; Dagster+ pago</t>
  </si>
  <si>
    <t>Orquestração orientada a data assets</t>
  </si>
  <si>
    <t>Plataforma para desenvolver, testar e monitorar pipelines e ativos de dados.</t>
  </si>
  <si>
    <t>Pipelines de indicadores, assets versionados, qualidade e observabilidade de dados.</t>
  </si>
  <si>
    <t>https://docs.dagster.io/</t>
  </si>
  <si>
    <t>https://www.google.com/s2/favicons?domain=docs.dagster.io&amp;sz=64</t>
  </si>
  <si>
    <t>HashiCorp Vault recebeu score considerando popularidade geral (4/5), uso/aderência institucional em VE (3/5), especificidade para VE (1/5) e adequação para execução de projetos (5/5).</t>
  </si>
  <si>
    <t>Gestão de segredos</t>
  </si>
  <si>
    <t>HashiCorp Vault</t>
  </si>
  <si>
    <t>Community/open source; enterprise/cloud pagos</t>
  </si>
  <si>
    <t>Gerenciamento de segredos, chaves e acesso dinâmico</t>
  </si>
  <si>
    <t>Plataforma para armazenar, controlar e auditar acesso a segredos.</t>
  </si>
  <si>
    <t>Projetos com dados sensíveis, credenciais de bancos, pipelines e APIs.</t>
  </si>
  <si>
    <t>https://developer.hashicorp.com/vault/docs</t>
  </si>
  <si>
    <t>https://www.google.com/s2/favicons?domain=developer.hashicorp.com&amp;sz=64</t>
  </si>
  <si>
    <t>MkDocs recebeu score considerando popularidade geral (4/5), uso/aderência institucional em VE (3/5), especificidade para VE (1/5) e adequação para execução de projetos (5/5).</t>
  </si>
  <si>
    <t>Documentação técnica</t>
  </si>
  <si>
    <t>MkDocs</t>
  </si>
  <si>
    <t>Gerador de sites de documentação a partir de Markdown</t>
  </si>
  <si>
    <t>Ferramenta para publicar documentação estática de projetos.</t>
  </si>
  <si>
    <t>Documentar pipelines, APIs, dicionários, processos e guias de uso.</t>
  </si>
  <si>
    <t>https://www.mkdocs.org/</t>
  </si>
  <si>
    <t>https://www.google.com/s2/favicons?domain=mkdocs.org&amp;sz=64</t>
  </si>
  <si>
    <t>uv recebeu score considerando popularidade geral (4/5), uso/aderência institucional em VE (3/5), especificidade para VE (1/5) e adequação para execução de projetos (5/5).</t>
  </si>
  <si>
    <t>Ambientes e dependências Python</t>
  </si>
  <si>
    <t>uv</t>
  </si>
  <si>
    <t>Gerenciador rápido de pacotes, ambientes e projetos Python</t>
  </si>
  <si>
    <t>Ferramenta moderna para instalar pacotes, criar venvs, lockfiles e gerenciar projetos Python.</t>
  </si>
  <si>
    <t>Projetos Python com dependências reprodutíveis, CI rápido e scripts analíticos.</t>
  </si>
  <si>
    <t>https://docs.astral.sh/uv/</t>
  </si>
  <si>
    <t>pak recebeu score considerando popularidade geral (3/5), uso/aderência institucional em VE (4/5), especificidade para VE (1/5) e adequação para execução de projetos (4/5).</t>
  </si>
  <si>
    <t>Instalação de pacotes R</t>
  </si>
  <si>
    <t>pak</t>
  </si>
  <si>
    <t>Instalador moderno de pacotes R</t>
  </si>
  <si>
    <t>Ferramenta rápida para resolver e instalar pacotes R e dependências de sistema.</t>
  </si>
  <si>
    <t>Ambientes R mais previsíveis em CI e projetos analíticos.</t>
  </si>
  <si>
    <t>https://pak.r-lib.org/</t>
  </si>
  <si>
    <t>https://www.google.com/s2/favicons?domain=pak.r-lib.org&amp;sz=64</t>
  </si>
  <si>
    <t>1Password Secrets Automation recebeu score considerando popularidade geral (4/5), uso/aderência institucional em VE (3/5), especificidade para VE (1/5) e adequação para execução de projetos (4/5).</t>
  </si>
  <si>
    <t>1Password Secrets Automation</t>
  </si>
  <si>
    <t>Paga/comercial; planos variados</t>
  </si>
  <si>
    <t>Gerenciamento de secrets para apps, CI/CD e equipes</t>
  </si>
  <si>
    <t>Ferramentas para armazenar e injetar segredos em workflows.</t>
  </si>
  <si>
    <t>Proteger tokens de APIs, credenciais de bancos e chaves em pipelines.</t>
  </si>
  <si>
    <t>https://developer.1password.com/docs/secrets-automation/</t>
  </si>
  <si>
    <t>https://www.google.com/s2/favicons?domain=developer.1password.com&amp;sz=64</t>
  </si>
  <si>
    <t>Amazon SageMaker Studio recebeu score considerando popularidade geral (4/5), uso/aderência institucional em VE (3/5), especificidade para VE (1/5) e adequação para execução de projetos (4/5).</t>
  </si>
  <si>
    <t>Plataforma cloud de ML</t>
  </si>
  <si>
    <t>Amazon SageMaker Studio</t>
  </si>
  <si>
    <t>Paga conforme uso AWS</t>
  </si>
  <si>
    <t>IDE/ambiente gerenciado para ML, notebooks, treinamento, deploy e MLOps</t>
  </si>
  <si>
    <t>Plataforma AWS para todo o ciclo de ML, com notebooks, pipelines, registry e endpoints.</t>
  </si>
  <si>
    <t>Projetos de ML em escala, treinamento gerenciado, deploy de modelos e MLOps.</t>
  </si>
  <si>
    <t>https://aws.amazon.com/sagemaker/</t>
  </si>
  <si>
    <t>https://www.google.com/s2/favicons?domain=aws.amazon.com&amp;sz=64</t>
  </si>
  <si>
    <t>Azure DevOps Pipelines recebeu score considerando popularidade geral (4/5), uso/aderência institucional em VE (3/5), especificidade para VE (1/5) e adequação para execução de projetos (4/5).</t>
  </si>
  <si>
    <t>CI/CD e DevOps</t>
  </si>
  <si>
    <t>Azure DevOps Pipelines</t>
  </si>
  <si>
    <t>Freemium; planos pagos e custos Azure</t>
  </si>
  <si>
    <t>Pipelines CI/CD no ecossistema Microsoft/Azure</t>
  </si>
  <si>
    <t>Serviço para automação de builds, testes, releases e deploys.</t>
  </si>
  <si>
    <t>Instituições com Microsoft/Azure, Power BI/Fabric e governança corporativa.</t>
  </si>
  <si>
    <t>https://learn.microsoft.com/en-us/azure/devops/pipelines/</t>
  </si>
  <si>
    <t>https://www.google.com/s2/favicons?domain=learn.microsoft.com&amp;sz=64</t>
  </si>
  <si>
    <t>Azure Machine Learning Studio recebeu score considerando popularidade geral (4/5), uso/aderência institucional em VE (3/5), especificidade para VE (1/5) e adequação para execução de projetos (4/5).</t>
  </si>
  <si>
    <t>Azure Machine Learning Studio</t>
  </si>
  <si>
    <t>Paga conforme uso Azure</t>
  </si>
  <si>
    <t>Ambiente gerenciado para experimentos, pipelines, modelos e endpoints</t>
  </si>
  <si>
    <t>Serviço Microsoft para machine learning em nuvem, registro de modelos e MLOps.</t>
  </si>
  <si>
    <t>Modelagem, rastreamento, automação, deploy e governança em ecossistema Microsoft.</t>
  </si>
  <si>
    <t>https://azure.microsoft.com/en-us/products/machine-learning/</t>
  </si>
  <si>
    <t>https://www.google.com/s2/favicons?domain=azure.microsoft.com&amp;sz=64</t>
  </si>
  <si>
    <t>Bandit recebeu score considerando popularidade geral (4/5), uso/aderência institucional em VE (3/5), especificidade para VE (1/5) e adequação para execução de projetos (4/5).</t>
  </si>
  <si>
    <t>Segurança Python</t>
  </si>
  <si>
    <t>Bandit</t>
  </si>
  <si>
    <t>Análise de segurança para código Python</t>
  </si>
  <si>
    <t>Ferramenta para detectar problemas comuns de segurança em Python.</t>
  </si>
  <si>
    <t>APIs, scripts e pipelines com risco de credenciais, shell e criptografia insegura.</t>
  </si>
  <si>
    <t>https://bandit.readthedocs.io/</t>
  </si>
  <si>
    <t>https://www.google.com/s2/favicons?domain=bandit.readthedocs.io&amp;sz=64</t>
  </si>
  <si>
    <t>BentoML recebeu score considerando popularidade geral (4/5), uso/aderência institucional em VE (3/5), especificidade para VE (1/5) e adequação para execução de projetos (4/5).</t>
  </si>
  <si>
    <t>Empacotamento e deploy de modelos</t>
  </si>
  <si>
    <t>BentoML</t>
  </si>
  <si>
    <t>Open source; cloud/comercial disponível</t>
  </si>
  <si>
    <t>Servir, empacotar e implantar modelos como APIs</t>
  </si>
  <si>
    <t>Framework para transformar modelos em serviços implantáveis.</t>
  </si>
  <si>
    <t>APIs de classificação de risco, predição e modelos em produção.</t>
  </si>
  <si>
    <t>https://docs.bentoml.com/</t>
  </si>
  <si>
    <t>https://www.google.com/s2/favicons?domain=docs.bentoml.com&amp;sz=64</t>
  </si>
  <si>
    <t>Bitbucket recebeu score considerando popularidade geral (4/5), uso/aderência institucional em VE (3/5), especificidade para VE (1/5) e adequação para execução de projetos (4/5).</t>
  </si>
  <si>
    <t>Bitbucket</t>
  </si>
  <si>
    <t>Repositórios Git integrados ao ecossistema Atlassian</t>
  </si>
  <si>
    <t>Plataforma de repositórios Git com pull requests, pipelines e integração com Jira.</t>
  </si>
  <si>
    <t>Projetos em instituições que usam Jira/Confluence e querem CI/CD integrado.</t>
  </si>
  <si>
    <t>https://support.atlassian.com/bitbucket-cloud/</t>
  </si>
  <si>
    <t>CodeQL recebeu score considerando popularidade geral (4/5), uso/aderência institucional em VE (3/5), especificidade para VE (1/5) e adequação para execução de projetos (4/5).</t>
  </si>
  <si>
    <t>Segurança de código</t>
  </si>
  <si>
    <t>CodeQL</t>
  </si>
  <si>
    <t>CLI gratuita para open source; recursos enterprise podem ser pagos</t>
  </si>
  <si>
    <t>Análise semântica de vulnerabilidades em código</t>
  </si>
  <si>
    <t>Ferramenta de análise de código usada em GitHub Advanced Security e CLI.</t>
  </si>
  <si>
    <t>Auditoria de segurança em APIs, pacotes e pipelines de dados.</t>
  </si>
  <si>
    <t>https://codeql.github.com/docs/</t>
  </si>
  <si>
    <t>https://www.google.com/s2/favicons?domain=codeql.github.com&amp;sz=64</t>
  </si>
  <si>
    <t>Confluence recebeu score considerando popularidade geral (4/5), uso/aderência institucional em VE (3/5), especificidade para VE (1/5) e adequação para execução de projetos (4/5).</t>
  </si>
  <si>
    <t>Confluence</t>
  </si>
  <si>
    <t>Wiki corporativa para documentação e colaboração</t>
  </si>
  <si>
    <t>Plataforma para páginas, documentação, decisões e bases de conhecimento.</t>
  </si>
  <si>
    <t>Manuais, decisões metodológicas, documentação de pipelines e governança.</t>
  </si>
  <si>
    <t>https://support.atlassian.com/confluence-cloud/</t>
  </si>
  <si>
    <t>coverage.py recebeu score considerando popularidade geral (4/5), uso/aderência institucional em VE (3/5), especificidade para VE (1/5) e adequação para execução de projetos (4/5).</t>
  </si>
  <si>
    <t>Cobertura de testes Python</t>
  </si>
  <si>
    <t>coverage.py</t>
  </si>
  <si>
    <t>Mede cobertura de execução de testes</t>
  </si>
  <si>
    <t>Ferramenta para identificar linhas de código não cobertas por testes.</t>
  </si>
  <si>
    <t>Governança de qualidade em pacotes, APIs e pipelines.</t>
  </si>
  <si>
    <t>https://coverage.readthedocs.io/</t>
  </si>
  <si>
    <t>https://www.google.com/s2/favicons?domain=coverage.readthedocs.io&amp;sz=64</t>
  </si>
  <si>
    <t>Dash recebeu score considerando popularidade geral (4/5), uso/aderência institucional em VE (3/5), especificidade para VE (1/5) e adequação para execução de projetos (4/5).</t>
  </si>
  <si>
    <t>Aplicações e dashboards Python/R</t>
  </si>
  <si>
    <t>Dash</t>
  </si>
  <si>
    <t>Open source; Dash Enterprise pago</t>
  </si>
  <si>
    <t>Framework para apps analíticos interativos</t>
  </si>
  <si>
    <t>Cria aplicações web com componentes e gráficos Plotly.</t>
  </si>
  <si>
    <t>Dashboards customizados, visualizações e exploração interativa.</t>
  </si>
  <si>
    <t>https://dash.plotly.com/</t>
  </si>
  <si>
    <t>https://www.google.com/s2/favicons?domain=dash.plotly.com&amp;sz=64</t>
  </si>
  <si>
    <t>Databricks Workspace recebeu score considerando popularidade geral (4/5), uso/aderência institucional em VE (3/5), especificidade para VE (1/5) e adequação para execução de projetos (4/5).</t>
  </si>
  <si>
    <t>Plataforma lakehouse e notebooks colaborativos</t>
  </si>
  <si>
    <t>Databricks Workspace</t>
  </si>
  <si>
    <t>Paga/comercial; custos de nuvem e DBUs</t>
  </si>
  <si>
    <t>Notebooks colaborativos, jobs, clusters, Delta Lake e MLflow</t>
  </si>
  <si>
    <t>Plataforma lakehouse com notebooks, SQL, workflows, ML e engenharia de dados.</t>
  </si>
  <si>
    <t>Processamento distribuído, pipelines, análise colaborativa, notebooks e MLOps.</t>
  </si>
  <si>
    <t>https://docs.databricks.com/</t>
  </si>
  <si>
    <t>https://www.google.com/s2/favicons?domain=docs.databricks.com&amp;sz=64</t>
  </si>
  <si>
    <t>Faker recebeu score considerando popularidade geral (4/5), uso/aderência institucional em VE (3/5), especificidade para VE (1/5) e adequação para execução de projetos (4/5).</t>
  </si>
  <si>
    <t>Dados fictícios e testes</t>
  </si>
  <si>
    <t>Faker</t>
  </si>
  <si>
    <t>Geração de dados fictícios para testes</t>
  </si>
  <si>
    <t>Biblioteca para gerar nomes, endereços, datas e dados sintéticos simples.</t>
  </si>
  <si>
    <t>Testes de pipelines, exemplos, protótipos e dados fictícios sem expor pessoas reais.</t>
  </si>
  <si>
    <t>https://faker.readthedocs.io/</t>
  </si>
  <si>
    <t>https://www.google.com/s2/favicons?domain=faker.readthedocs.io&amp;sz=64</t>
  </si>
  <si>
    <t>flake8 recebeu score considerando popularidade geral (4/5), uso/aderência institucional em VE (3/5), especificidade para VE (1/5) e adequação para execução de projetos (4/5).</t>
  </si>
  <si>
    <t>Lint Python</t>
  </si>
  <si>
    <t>flake8</t>
  </si>
  <si>
    <t>Linter Python tradicional</t>
  </si>
  <si>
    <t>Ferramenta para checagem de estilo e erros em código Python.</t>
  </si>
  <si>
    <t>Qualidade de código, CI e revisão automatizada.</t>
  </si>
  <si>
    <t>https://flake8.pycqa.org/</t>
  </si>
  <si>
    <t>https://www.google.com/s2/favicons?domain=flake8.pycqa.org&amp;sz=64</t>
  </si>
  <si>
    <t>GitHub Codespaces recebeu score considerando popularidade geral (4/5), uso/aderência institucional em VE (3/5), especificidade para VE (1/5) e adequação para execução de projetos (4/5).</t>
  </si>
  <si>
    <t>Ambientes cloud de desenvolvimento</t>
  </si>
  <si>
    <t>GitHub Codespaces</t>
  </si>
  <si>
    <t>Pago conforme uso; cotas em planos específicos</t>
  </si>
  <si>
    <t>Ambientes de desenvolvimento hospedados na nuvem baseados em Dev Containers</t>
  </si>
  <si>
    <t>Ambiente pronto no navegador ou VS Code, integrado ao GitHub.</t>
  </si>
  <si>
    <t>Onboarding rápido, oficinas, projetos colaborativos e ambientes reproduzíveis.</t>
  </si>
  <si>
    <t>https://docs.github.com/en/codespaces</t>
  </si>
  <si>
    <t>Google Vertex AI Workbench recebeu score considerando popularidade geral (4/5), uso/aderência institucional em VE (3/5), especificidade para VE (1/5) e adequação para execução de projetos (4/5).</t>
  </si>
  <si>
    <t>Google Vertex AI Workbench</t>
  </si>
  <si>
    <t>Paga conforme uso Google Cloud</t>
  </si>
  <si>
    <t>Notebooks e ambiente de ML gerenciado no Google Cloud</t>
  </si>
  <si>
    <t>Ambiente de notebooks/ML integrado a Vertex AI, BigQuery, pipelines e serviços do GCP.</t>
  </si>
  <si>
    <t>Projetos de ML com dados no Google Cloud, experimentação e deploy.</t>
  </si>
  <si>
    <t>https://cloud.google.com/vertex-ai/docs/workbench</t>
  </si>
  <si>
    <t>https://www.google.com/s2/favicons?domain=cloud.google.com&amp;sz=64</t>
  </si>
  <si>
    <t>isort recebeu score considerando popularidade geral (4/5), uso/aderência institucional em VE (3/5), especificidade para VE (1/5) e adequação para execução de projetos (4/5).</t>
  </si>
  <si>
    <t>Organização de imports Python</t>
  </si>
  <si>
    <t>isort</t>
  </si>
  <si>
    <t>Organizador automático de imports Python</t>
  </si>
  <si>
    <t>Ferramenta para ordenar e separar imports conforme padrões.</t>
  </si>
  <si>
    <t>Higiene de código em projetos Python e pacotes.</t>
  </si>
  <si>
    <t>https://pycqa.github.io/isort/</t>
  </si>
  <si>
    <t>https://www.google.com/s2/favicons?domain=pycqa.github.io&amp;sz=64</t>
  </si>
  <si>
    <t>Jenkins recebeu score considerando popularidade geral (4/5), uso/aderência institucional em VE (3/5), especificidade para VE (1/5) e adequação para execução de projetos (4/5).</t>
  </si>
  <si>
    <t>Jenkins</t>
  </si>
  <si>
    <t>Servidor open source de automação e CI/CD</t>
  </si>
  <si>
    <t>Ferramenta extensível para automatizar builds, testes, deploys e jobs.</t>
  </si>
  <si>
    <t>Ambientes auto-hospedados com pipelines de dados e rotinas legadas.</t>
  </si>
  <si>
    <t>https://www.jenkins.io/doc/</t>
  </si>
  <si>
    <t>https://www.google.com/s2/favicons?domain=jenkins.io&amp;sz=64</t>
  </si>
  <si>
    <t>Make recebeu score considerando popularidade geral (4/5), uso/aderência institucional em VE (3/5), especificidade para VE (1/5) e adequação para execução de projetos (4/5).</t>
  </si>
  <si>
    <t>Automação de tarefas</t>
  </si>
  <si>
    <t>Make</t>
  </si>
  <si>
    <t>Automação de tarefas por dependências em Makefile</t>
  </si>
  <si>
    <t>Ferramenta clássica para declarar tarefas, dependências e comandos.</t>
  </si>
  <si>
    <t>Reprodução de pipelines simples, relatórios, testes e builds de documentos.</t>
  </si>
  <si>
    <t>https://www.gnu.org/software/make/manual/make.html</t>
  </si>
  <si>
    <t>https://www.google.com/s2/favicons?domain=gnu.org&amp;sz=64</t>
  </si>
  <si>
    <t>Mamba / micromamba recebeu score considerando popularidade geral (4/5), uso/aderência institucional em VE (3/5), especificidade para VE (1/5) e adequação para execução de projetos (4/5).</t>
  </si>
  <si>
    <t>Mamba / micromamba</t>
  </si>
  <si>
    <t>Alternativa rápida ao conda para ambientes e pacotes</t>
  </si>
  <si>
    <t>Gerenciador de pacotes/ambientes compatível com conda, com resolução rápida.</t>
  </si>
  <si>
    <t>Ambientes reproduzíveis para pipelines, CI e notebooks.</t>
  </si>
  <si>
    <t>https://mamba.readthedocs.io/</t>
  </si>
  <si>
    <t>https://www.google.com/s2/favicons?domain=mamba.readthedocs.io&amp;sz=64</t>
  </si>
  <si>
    <t>mypy recebeu score considerando popularidade geral (4/5), uso/aderência institucional em VE (3/5), especificidade para VE (1/5) e adequação para execução de projetos (4/5).</t>
  </si>
  <si>
    <t>Tipagem estática Python</t>
  </si>
  <si>
    <t>mypy</t>
  </si>
  <si>
    <t>Checagem de tipos estáticos em Python</t>
  </si>
  <si>
    <t>Ferramenta para detectar inconsistências de tipo antes da execução.</t>
  </si>
  <si>
    <t>Projetos Python maiores, bibliotecas internas e APIs com maior robustez.</t>
  </si>
  <si>
    <t>https://mypy.readthedocs.io/</t>
  </si>
  <si>
    <t>https://www.google.com/s2/favicons?domain=mypy.readthedocs.io&amp;sz=64</t>
  </si>
  <si>
    <t>OpenTelemetry recebeu score considerando popularidade geral (4/5), uso/aderência institucional em VE (3/5), especificidade para VE (1/5) e adequação para execução de projetos (4/5).</t>
  </si>
  <si>
    <t>Observabilidade e instrumentação</t>
  </si>
  <si>
    <t>OpenTelemetry</t>
  </si>
  <si>
    <t>Padrão/projeto open source</t>
  </si>
  <si>
    <t>Padrão para traces, métricas e logs</t>
  </si>
  <si>
    <t>Projeto CNCF para instrumentar aplicações e coletar telemetria.</t>
  </si>
  <si>
    <t>Observabilidade de APIs, pipelines e serviços de ML em produção.</t>
  </si>
  <si>
    <t>https://opentelemetry.io/docs/</t>
  </si>
  <si>
    <t>https://www.google.com/s2/favicons?domain=opentelemetry.io&amp;sz=64</t>
  </si>
  <si>
    <t>Podman recebeu score considerando popularidade geral (4/5), uso/aderência institucional em VE (3/5), especificidade para VE (1/5) e adequação para execução de projetos (4/5).</t>
  </si>
  <si>
    <t>Podman</t>
  </si>
  <si>
    <t>Containers daemonless e compatíveis com OCI</t>
  </si>
  <si>
    <t>Ferramenta open source para executar containers e pods, alternativa ao Docker.</t>
  </si>
  <si>
    <t>Ambientes institucionais Linux, reprodutibilidade e deploy sem daemon central.</t>
  </si>
  <si>
    <t>https://podman.io/docs</t>
  </si>
  <si>
    <t>https://www.google.com/s2/favicons?domain=podman.io&amp;sz=64</t>
  </si>
  <si>
    <t>Poetry recebeu score considerando popularidade geral (4/5), uso/aderência institucional em VE (3/5), especificidade para VE (1/5) e adequação para execução de projetos (4/5).</t>
  </si>
  <si>
    <t>Empacotamento e dependências Python</t>
  </si>
  <si>
    <t>Poetry</t>
  </si>
  <si>
    <t>Gerenciador de dependências e empacotamento Python</t>
  </si>
  <si>
    <t>Ferramenta para declarar dependências, lockfile, build e publicação de pacotes Python.</t>
  </si>
  <si>
    <t>Projetos Python estruturados, pacotes internos, APIs e reprodutibilidade.</t>
  </si>
  <si>
    <t>https://python-poetry.org/docs/</t>
  </si>
  <si>
    <t>https://www.google.com/s2/favicons?domain=python-poetry.org&amp;sz=64</t>
  </si>
  <si>
    <t>Prefect recebeu score considerando popularidade geral (4/5), uso/aderência institucional em VE (3/5), especificidade para VE (1/5) e adequação para execução de projetos (4/5).</t>
  </si>
  <si>
    <t>Prefect</t>
  </si>
  <si>
    <t>Open source; Prefect Cloud pago/freemium</t>
  </si>
  <si>
    <t>Workflows Python para orquestração e observabilidade</t>
  </si>
  <si>
    <t>Ferramenta para criar, agendar e monitorar workflows em Python.</t>
  </si>
  <si>
    <t>ETL, relatórios programados, APIs, tarefas de scraping e processamento analítico.</t>
  </si>
  <si>
    <t>https://docs.prefect.io/</t>
  </si>
  <si>
    <t>https://www.google.com/s2/favicons?domain=docs.prefect.io&amp;sz=64</t>
  </si>
  <si>
    <t>PyCharm recebeu score considerando popularidade geral (4/5), uso/aderência institucional em VE (3/5), especificidade para VE (1/5) e adequação para execução de projetos (4/5).</t>
  </si>
  <si>
    <t>PyCharm</t>
  </si>
  <si>
    <t>Community gratuita/open source; Professional paga</t>
  </si>
  <si>
    <t>IDE Python para projetos, testes, notebooks, depuração e integração com Git</t>
  </si>
  <si>
    <t>Ambiente robusto para Python com refatoração, testes, depuração, ambientes virtuais e suporte a notebooks.</t>
  </si>
  <si>
    <t>Desenvolvimento Python de pipelines, bibliotecas, APIs e projetos de machine learning.</t>
  </si>
  <si>
    <t>https://www.jetbrains.com/pycharm/</t>
  </si>
  <si>
    <t>https://www.google.com/s2/favicons?domain=jetbrains.com&amp;sz=64</t>
  </si>
  <si>
    <t>pyright recebeu score considerando popularidade geral (4/5), uso/aderência institucional em VE (3/5), especificidade para VE (1/5) e adequação para execução de projetos (4/5).</t>
  </si>
  <si>
    <t>pyright</t>
  </si>
  <si>
    <t>Type checker Python rápido</t>
  </si>
  <si>
    <t>Ferramenta da Microsoft para checagem de tipos Python, base do Pylance.</t>
  </si>
  <si>
    <t>Projetos Python com VS Code, APIs e pacotes com tipos.</t>
  </si>
  <si>
    <t>https://microsoft.github.io/pyright/</t>
  </si>
  <si>
    <t>https://www.google.com/s2/favicons?domain=microsoft.github.io&amp;sz=64</t>
  </si>
  <si>
    <t>Read the Docs recebeu score considerando popularidade geral (4/5), uso/aderência institucional em VE (3/5), especificidade para VE (1/5) e adequação para execução de projetos (4/5).</t>
  </si>
  <si>
    <t>Publicação de documentação</t>
  </si>
  <si>
    <t>Read the Docs</t>
  </si>
  <si>
    <t>Hospedagem de documentação técnica</t>
  </si>
  <si>
    <t>Serviço para compilar e hospedar documentação de projetos de software.</t>
  </si>
  <si>
    <t>Documentar pacotes, guias, APIs e projetos de dados.</t>
  </si>
  <si>
    <t>https://docs.readthedocs.io/</t>
  </si>
  <si>
    <t>https://www.google.com/s2/favicons?domain=docs.readthedocs.io&amp;sz=64</t>
  </si>
  <si>
    <t>Semgrep recebeu score considerando popularidade geral (4/5), uso/aderência institucional em VE (3/5), especificidade para VE (1/5) e adequação para execução de projetos (4/5).</t>
  </si>
  <si>
    <t>Segurança e análise estática</t>
  </si>
  <si>
    <t>Semgrep</t>
  </si>
  <si>
    <t>Open source; planos comerciais/Cloud</t>
  </si>
  <si>
    <t>Análise estática por regras para múltiplas linguagens</t>
  </si>
  <si>
    <t>Ferramenta para encontrar padrões inseguros, bugs e violações de políticas.</t>
  </si>
  <si>
    <t>Checagem de segredos, padrões inseguros e regras customizadas institucionais.</t>
  </si>
  <si>
    <t>https://semgrep.dev/docs/</t>
  </si>
  <si>
    <t>https://www.google.com/s2/favicons?domain=semgrep.dev&amp;sz=64</t>
  </si>
  <si>
    <t>Sentry recebeu score considerando popularidade geral (4/5), uso/aderência institucional em VE (3/5), especificidade para VE (1/5) e adequação para execução de projetos (4/5).</t>
  </si>
  <si>
    <t>Monitoramento de erros</t>
  </si>
  <si>
    <t>Sentry</t>
  </si>
  <si>
    <t>Error tracking e performance monitoring</t>
  </si>
  <si>
    <t>Plataforma para capturar erros, exceções e performance de aplicações.</t>
  </si>
  <si>
    <t>Monitorar APIs, apps Shiny/Streamlit, dashboards e serviços de modelos.</t>
  </si>
  <si>
    <t>https://docs.sentry.io/</t>
  </si>
  <si>
    <t>https://www.google.com/s2/favicons?domain=docs.sentry.io&amp;sz=64</t>
  </si>
  <si>
    <t>setuptools recebeu score considerando popularidade geral (4/5), uso/aderência institucional em VE (3/5), especificidade para VE (1/5) e adequação para execução de projetos (4/5).</t>
  </si>
  <si>
    <t>Empacotamento Python</t>
  </si>
  <si>
    <t>setuptools</t>
  </si>
  <si>
    <t>Build e distribuição de pacotes Python</t>
  </si>
  <si>
    <t>Ferramenta tradicional para criar e distribuir pacotes Python.</t>
  </si>
  <si>
    <t>Pacotes internos, bibliotecas de ETL e utilitários.</t>
  </si>
  <si>
    <t>https://setuptools.pypa.io/</t>
  </si>
  <si>
    <t>https://www.google.com/s2/favicons?domain=setuptools.pypa.io&amp;sz=64</t>
  </si>
  <si>
    <t>SonarQube recebeu score considerando popularidade geral (4/5), uso/aderência institucional em VE (3/5), especificidade para VE (1/5) e adequação para execução de projetos (4/5).</t>
  </si>
  <si>
    <t>Qualidade e segurança de código</t>
  </si>
  <si>
    <t>SonarQube</t>
  </si>
  <si>
    <t>Community gratuita; edições comerciais pagas</t>
  </si>
  <si>
    <t>Análise estática de qualidade, bugs, vulnerabilidades e code smells</t>
  </si>
  <si>
    <t>Plataforma para qualidade contínua de código em múltiplas linguagens.</t>
  </si>
  <si>
    <t>Projetos institucionais com governança, auditoria e segurança.</t>
  </si>
  <si>
    <t>https://docs.sonarsource.com/sonarqube-server/</t>
  </si>
  <si>
    <t>https://www.google.com/s2/favicons?domain=docs.sonarsource.com&amp;sz=64</t>
  </si>
  <si>
    <t>Sphinx recebeu score considerando popularidade geral (4/5), uso/aderência institucional em VE (3/5), especificidade para VE (1/5) e adequação para execução de projetos (4/5).</t>
  </si>
  <si>
    <t>Sphinx</t>
  </si>
  <si>
    <t>Gerador de documentação Python e projetos técnicos</t>
  </si>
  <si>
    <t>Ferramenta tradicional para documentação de pacotes e APIs.</t>
  </si>
  <si>
    <t>Documentar bibliotecas internas, pacotes epidemiológicos e APIs.</t>
  </si>
  <si>
    <t>https://www.sphinx-doc.org/</t>
  </si>
  <si>
    <t>https://www.google.com/s2/favicons?domain=sphinx-doc.org&amp;sz=64</t>
  </si>
  <si>
    <t>tox recebeu score considerando popularidade geral (4/5), uso/aderência institucional em VE (3/5), especificidade para VE (1/5) e adequação para execução de projetos (4/5).</t>
  </si>
  <si>
    <t>Automação/testes Python</t>
  </si>
  <si>
    <t>tox</t>
  </si>
  <si>
    <t>Automação de testes em múltiplos ambientes Python</t>
  </si>
  <si>
    <t>Ferramenta para testar pacotes Python em diferentes versões/dependências.</t>
  </si>
  <si>
    <t>Validação de bibliotecas internas, pacotes epidemiológicos e CI.</t>
  </si>
  <si>
    <t>https://tox.wiki/</t>
  </si>
  <si>
    <t>https://www.google.com/s2/favicons?domain=tox.wiki&amp;sz=64</t>
  </si>
  <si>
    <t>TruffleHog recebeu score considerando popularidade geral (4/5), uso/aderência institucional em VE (3/5), especificidade para VE (1/5) e adequação para execução de projetos (4/5).</t>
  </si>
  <si>
    <t>TruffleHog</t>
  </si>
  <si>
    <t>Open source; plataforma comercial disponível</t>
  </si>
  <si>
    <t>Scanner de segredos com validação</t>
  </si>
  <si>
    <t>Ferramenta para encontrar e validar credenciais expostas.</t>
  </si>
  <si>
    <t>Auditar repositórios, CI e histórico antes de publicar projetos.</t>
  </si>
  <si>
    <t>https://trufflesecurity.com/trufflehog</t>
  </si>
  <si>
    <t>https://www.google.com/s2/favicons?domain=trufflesecurity.com&amp;sz=64</t>
  </si>
  <si>
    <t>GitHub Desktop recebeu score considerando popularidade geral (4/5), uso/aderência institucional em VE (3/5), especificidade para VE (1/5) e adequação para execução de projetos (3/5).</t>
  </si>
  <si>
    <t>Cliente Git gráfico</t>
  </si>
  <si>
    <t>GitHub Desktop</t>
  </si>
  <si>
    <t>Gratuito</t>
  </si>
  <si>
    <t>Cliente desktop para GitHub e Git</t>
  </si>
  <si>
    <t>Interface gráfica para versionamento com GitHub, commits, branches e pull requests.</t>
  </si>
  <si>
    <t>Apoio a iniciantes em Git, curadoria de notebooks e fluxos de versionamento simples.</t>
  </si>
  <si>
    <t>https://docs.github.com/en/desktop</t>
  </si>
  <si>
    <t>GitKraken recebeu score considerando popularidade geral (4/5), uso/aderência institucional em VE (3/5), especificidade para VE (1/5) e adequação para execução de projetos (3/5).</t>
  </si>
  <si>
    <t>GitKraken</t>
  </si>
  <si>
    <t>Freemium; recursos avançados pagos</t>
  </si>
  <si>
    <t>Cliente Git visual para múltiplas plataformas</t>
  </si>
  <si>
    <t>Ferramenta visual para branches, merges, conflitos e integração com repositórios remotos.</t>
  </si>
  <si>
    <t>Facilitar adoção de Git por equipes multidisciplinares.</t>
  </si>
  <si>
    <t>https://www.gitkraken.com/</t>
  </si>
  <si>
    <t>https://www.google.com/s2/favicons?domain=gitkraken.com&amp;sz=64</t>
  </si>
  <si>
    <t>Snowflake Notebooks recebeu score considerando popularidade geral (4/5), uso/aderência institucional em VE (3/5), especificidade para VE (1/5) e adequação para execução de projetos (3/5).</t>
  </si>
  <si>
    <t>Notebooks e plataforma de dados cloud</t>
  </si>
  <si>
    <t>Snowflake Notebooks</t>
  </si>
  <si>
    <t>Paga conforme uso Snowflake</t>
  </si>
  <si>
    <t>Notebooks integrados ao Snowflake/Snowpark</t>
  </si>
  <si>
    <t>Ambiente para notebooks de análise e ML diretamente próximo aos dados no Snowflake.</t>
  </si>
  <si>
    <t>Análises SQL/Python, governança de dados, protótipos e modelos próximos ao warehouse.</t>
  </si>
  <si>
    <t>https://docs.snowflake.com/en/user-guide/ui-snowsight/notebooks</t>
  </si>
  <si>
    <t>https://www.google.com/s2/favicons?domain=docs.snowflake.com&amp;sz=64</t>
  </si>
  <si>
    <t>Alibi Detect recebeu score considerando popularidade geral (3/5), uso/aderência institucional em VE (3/5), especificidade para VE (1/5) e adequação para execução de projetos (4/5).</t>
  </si>
  <si>
    <t>Detecção de drift e anomalias</t>
  </si>
  <si>
    <t>Alibi Detect</t>
  </si>
  <si>
    <t>Drift, outliers e adversarial detection</t>
  </si>
  <si>
    <t>Biblioteca Python para detectar drift e anomalias em dados/modelos.</t>
  </si>
  <si>
    <t>Monitoramento de modelos, detecção de mudança de distribuição e alertas.</t>
  </si>
  <si>
    <t>https://docs.seldon.io/projects/alibi-detect/en/stable/</t>
  </si>
  <si>
    <t>https://www.google.com/s2/favicons?domain=docs.seldon.io&amp;sz=64</t>
  </si>
  <si>
    <t>Copier recebeu score considerando popularidade geral (3/5), uso/aderência institucional em VE (3/5), especificidade para VE (1/5) e adequação para execução de projetos (4/5).</t>
  </si>
  <si>
    <t>Templates de projeto</t>
  </si>
  <si>
    <t>Copier</t>
  </si>
  <si>
    <t>Templates atualizáveis para projetos</t>
  </si>
  <si>
    <t>Ferramenta para gerar e atualizar projetos a partir de templates.</t>
  </si>
  <si>
    <t>Padronizar estruturas institucionais para projetos de VE e ciência de dados.</t>
  </si>
  <si>
    <t>https://copier.readthedocs.io/</t>
  </si>
  <si>
    <t>https://www.google.com/s2/favicons?domain=copier.readthedocs.io&amp;sz=64</t>
  </si>
  <si>
    <t>DataSpell recebeu score considerando popularidade geral (3/5), uso/aderência institucional em VE (3/5), especificidade para VE (1/5) e adequação para execução de projetos (4/5).</t>
  </si>
  <si>
    <t>DataSpell</t>
  </si>
  <si>
    <t>Paga/comercial; avaliação disponível</t>
  </si>
  <si>
    <t>IDE JetBrains para notebooks, Python e ciência de dados</t>
  </si>
  <si>
    <t>IDE voltada a dados, notebooks, exploração interativa e projetos Python.</t>
  </si>
  <si>
    <t>Notebooks, análises exploratórias, protótipos e modelagem em equipes que usam JetBrains.</t>
  </si>
  <si>
    <t>https://www.jetbrains.com/dataspell/</t>
  </si>
  <si>
    <t>Forgejo recebeu score considerando popularidade geral (3/5), uso/aderência institucional em VE (3/5), especificidade para VE (1/5) e adequação para execução de projetos (4/5).</t>
  </si>
  <si>
    <t>Hospedagem Git auto-hospedada</t>
  </si>
  <si>
    <t>Forgejo</t>
  </si>
  <si>
    <t>Gratuita/open source; custos de infraestrutura</t>
  </si>
  <si>
    <t>Forge Git auto-hospedado derivado do Gitea</t>
  </si>
  <si>
    <t>Plataforma comunitária para hospedagem Git, colaboração, issues e revisão.</t>
  </si>
  <si>
    <t>Projetos internos com necessidade de soberania, auto-hospedagem e baixo custo.</t>
  </si>
  <si>
    <t>https://forgejo.org/docs/latest/</t>
  </si>
  <si>
    <t>https://www.google.com/s2/favicons?domain=forgejo.org&amp;sz=64</t>
  </si>
  <si>
    <t>Gitea recebeu score considerando popularidade geral (3/5), uso/aderência institucional em VE (3/5), especificidade para VE (1/5) e adequação para execução de projetos (4/5).</t>
  </si>
  <si>
    <t>Gitea</t>
  </si>
  <si>
    <t>Servidor Git leve para auto-hospedagem</t>
  </si>
  <si>
    <t>Plataforma open source leve para repositórios, issues, pull requests e colaboração.</t>
  </si>
  <si>
    <t>Ambientes institucionais que exigem hospedagem própria e controle sobre dados/código.</t>
  </si>
  <si>
    <t>https://docs.gitea.com/</t>
  </si>
  <si>
    <t>https://www.google.com/s2/favicons?domain=docs.gitea.com&amp;sz=64</t>
  </si>
  <si>
    <t>Hatch recebeu score considerando popularidade geral (3/5), uso/aderência institucional em VE (3/5), especificidade para VE (1/5) e adequação para execução de projetos (4/5).</t>
  </si>
  <si>
    <t>Hatch</t>
  </si>
  <si>
    <t>Gerenciamento moderno de projetos Python</t>
  </si>
  <si>
    <t>Ferramenta para build, versionamento, ambientes e publicação de pacotes.</t>
  </si>
  <si>
    <t>Projetos Python padronizados, CI e pacotes internos.</t>
  </si>
  <si>
    <t>https://hatch.pypa.io/</t>
  </si>
  <si>
    <t>https://www.google.com/s2/favicons?domain=hatch.pypa.io&amp;sz=64</t>
  </si>
  <si>
    <t>just recebeu score considerando popularidade geral (3/5), uso/aderência institucional em VE (3/5), especificidade para VE (1/5) e adequação para execução de projetos (4/5).</t>
  </si>
  <si>
    <t>just</t>
  </si>
  <si>
    <t>Command runner simples via justfile</t>
  </si>
  <si>
    <t>Ferramenta para padronizar comandos de projeto como test, lint, build e run.</t>
  </si>
  <si>
    <t>Onboarding, padronização de comandos e automação de rotinas de projeto.</t>
  </si>
  <si>
    <t>https://just.systems/</t>
  </si>
  <si>
    <t>https://www.google.com/s2/favicons?domain=just.systems&amp;sz=64</t>
  </si>
  <si>
    <t>lakeFS recebeu score considerando popularidade geral (3/5), uso/aderência institucional em VE (3/5), especificidade para VE (1/5) e adequação para execução de projetos (4/5).</t>
  </si>
  <si>
    <t>Versionamento de data lake</t>
  </si>
  <si>
    <t>lakeFS</t>
  </si>
  <si>
    <t>Open source; cloud/enterprise pagos</t>
  </si>
  <si>
    <t>Versionamento tipo Git para objetos em data lakes</t>
  </si>
  <si>
    <t>Plataforma para branches, commits e merges em dados armazenados em objetos.</t>
  </si>
  <si>
    <t>Governança de data lake, reprodutibilidade e rollback de dados.</t>
  </si>
  <si>
    <t>https://docs.lakefs.io/</t>
  </si>
  <si>
    <t>https://www.google.com/s2/favicons?domain=docs.lakefs.io&amp;sz=64</t>
  </si>
  <si>
    <t>Mozilla SOPS recebeu score considerando popularidade geral (3/5), uso/aderência institucional em VE (3/5), especificidade para VE (1/5) e adequação para execução de projetos (4/5).</t>
  </si>
  <si>
    <t>Segredos criptografados em Git</t>
  </si>
  <si>
    <t>Mozilla SOPS</t>
  </si>
  <si>
    <t>Edição de arquivos criptografados com KMS/GPG/Age</t>
  </si>
  <si>
    <t>Ferramenta para guardar segredos criptografados em repositórios.</t>
  </si>
  <si>
    <t>Projetos auto-hospedados que precisam versionar configs sensíveis com segurança.</t>
  </si>
  <si>
    <t>https://github.com/getsops/sops</t>
  </si>
  <si>
    <t>NannyML recebeu score considerando popularidade geral (3/5), uso/aderência institucional em VE (3/5), especificidade para VE (1/5) e adequação para execução de projetos (4/5).</t>
  </si>
  <si>
    <t>Monitoramento de modelos</t>
  </si>
  <si>
    <t>NannyML</t>
  </si>
  <si>
    <t>Monitoramento de performance sem ground truth e drift</t>
  </si>
  <si>
    <t>Ferramenta para estimar performance e detectar mudanças em modelos.</t>
  </si>
  <si>
    <t>Monitorar classificadores quando rótulos chegam com atraso, cenário comum em vigilância.</t>
  </si>
  <si>
    <t>https://docs.nannyml.com/</t>
  </si>
  <si>
    <t>https://www.google.com/s2/favicons?domain=docs.nannyml.com&amp;sz=64</t>
  </si>
  <si>
    <t>nbQA recebeu score considerando popularidade geral (3/5), uso/aderência institucional em VE (3/5), especificidade para VE (1/5) e adequação para execução de projetos (4/5).</t>
  </si>
  <si>
    <t>Lint/format notebooks</t>
  </si>
  <si>
    <t>nbQA</t>
  </si>
  <si>
    <t>Executa linters e formatadores em notebooks Jupyter</t>
  </si>
  <si>
    <t>Ferramenta para aplicar Black, Ruff, isort e outros em células de notebooks.</t>
  </si>
  <si>
    <t>Higiene de notebooks versionados e revisão de código em notebooks.</t>
  </si>
  <si>
    <t>https://nbqa.readthedocs.io/</t>
  </si>
  <si>
    <t>https://www.google.com/s2/favicons?domain=nbqa.readthedocs.io&amp;sz=64</t>
  </si>
  <si>
    <t>nbval recebeu score considerando popularidade geral (3/5), uso/aderência institucional em VE (3/5), especificidade para VE (1/5) e adequação para execução de projetos (4/5).</t>
  </si>
  <si>
    <t>Testes de notebooks</t>
  </si>
  <si>
    <t>nbval</t>
  </si>
  <si>
    <t>Plugin pytest para validar notebooks Jupyter</t>
  </si>
  <si>
    <t>Ferramenta para executar notebooks como testes e comparar outputs.</t>
  </si>
  <si>
    <t>Garantir que notebooks de análise e documentação executem sem erro.</t>
  </si>
  <si>
    <t>https://nbval.readthedocs.io/</t>
  </si>
  <si>
    <t>https://www.google.com/s2/favicons?domain=nbval.readthedocs.io&amp;sz=64</t>
  </si>
  <si>
    <t>pip-tools recebeu score considerando popularidade geral (3/5), uso/aderência institucional em VE (3/5), especificidade para VE (1/5) e adequação para execução de projetos (4/5).</t>
  </si>
  <si>
    <t>Dependências Python</t>
  </si>
  <si>
    <t>pip-tools</t>
  </si>
  <si>
    <t>Geração de requirements pinados e reprodutíveis</t>
  </si>
  <si>
    <t>Ferramenta para compilar arquivos requirements com versões fixas.</t>
  </si>
  <si>
    <t>Projetos Python simples que precisam de ambientes reproduzíveis.</t>
  </si>
  <si>
    <t>https://pip-tools.readthedocs.io/</t>
  </si>
  <si>
    <t>https://www.google.com/s2/favicons?domain=pip-tools.readthedocs.io&amp;sz=64</t>
  </si>
  <si>
    <t>Pixi recebeu score considerando popularidade geral (3/5), uso/aderência institucional em VE (3/5), especificidade para VE (1/5) e adequação para execução de projetos (4/5).</t>
  </si>
  <si>
    <t>Ambientes e dependências multi-linguagem</t>
  </si>
  <si>
    <t>Pixi</t>
  </si>
  <si>
    <t>Gerenciador de pacotes baseado em conda-forge</t>
  </si>
  <si>
    <t>Ferramenta moderna para ambientes reproduzíveis com lockfiles e tarefas.</t>
  </si>
  <si>
    <t>Projetos Python/R/CLI com dependências científicas e automação.</t>
  </si>
  <si>
    <t>https://pixi.sh/latest/</t>
  </si>
  <si>
    <t>https://www.google.com/s2/favicons?domain=pixi.sh&amp;sz=64</t>
  </si>
  <si>
    <t>Quilt recebeu score considerando popularidade geral (3/5), uso/aderência institucional em VE (3/5), especificidade para VE (1/5) e adequação para execução de projetos (4/5).</t>
  </si>
  <si>
    <t>Versionamento e catálogo de dados</t>
  </si>
  <si>
    <t>Quilt</t>
  </si>
  <si>
    <t>Open source/serviço comercial conforme uso</t>
  </si>
  <si>
    <t>Pacotes de dados versionados em object storage</t>
  </si>
  <si>
    <t>Ferramenta para empacotar, versionar e catalogar datasets.</t>
  </si>
  <si>
    <t>Compartilhamento de datasets, catálogos internos e rastreabilidade.</t>
  </si>
  <si>
    <t>https://docs.quiltdata.com/</t>
  </si>
  <si>
    <t>https://www.google.com/s2/favicons?domain=docs.quiltdata.com&amp;sz=64</t>
  </si>
  <si>
    <t>Soda Core recebeu score considerando popularidade geral (3/5), uso/aderência institucional em VE (3/5), especificidade para VE (1/5) e adequação para execução de projetos (4/5).</t>
  </si>
  <si>
    <t>Validação e observabilidade de dados</t>
  </si>
  <si>
    <t>Soda Core</t>
  </si>
  <si>
    <t>Soda Core open source; Soda Cloud pago</t>
  </si>
  <si>
    <t>Checks de qualidade em bancos e pipelines</t>
  </si>
  <si>
    <t>Ferramenta para definir checks de qualidade e monitorar dados.</t>
  </si>
  <si>
    <t>Monitorar completude, unicidade, distribuição, frescor e regras de negócio.</t>
  </si>
  <si>
    <t>https://docs.soda.io/soda-core/overview-main.html</t>
  </si>
  <si>
    <t>https://www.google.com/s2/favicons?domain=docs.soda.io&amp;sz=64</t>
  </si>
  <si>
    <t>CircleCI recebeu score considerando popularidade geral (4/5), uso/aderência institucional em VE (2/5), especificidade para VE (1/5) e adequação para execução de projetos (4/5).</t>
  </si>
  <si>
    <t>CircleCI</t>
  </si>
  <si>
    <t>CI/CD cloud e auto-hospedado</t>
  </si>
  <si>
    <t>Plataforma para build, test e deploy em pipelines de software.</t>
  </si>
  <si>
    <t>Baixo/Médio</t>
  </si>
  <si>
    <t>Testes e deploys de projetos Python/R, APIs, containers e jobs programados.</t>
  </si>
  <si>
    <t>https://circleci.com/docs/</t>
  </si>
  <si>
    <t>https://www.google.com/s2/favicons?domain=circleci.com&amp;sz=64</t>
  </si>
  <si>
    <t>Kubeflow recebeu score considerando popularidade geral (4/5), uso/aderência institucional em VE (2/5), especificidade para VE (1/5) e adequação para execução de projetos (4/5).</t>
  </si>
  <si>
    <t>MLOps em Kubernetes</t>
  </si>
  <si>
    <t>Kubeflow</t>
  </si>
  <si>
    <t>Gratuita/open source; alto custo operacional</t>
  </si>
  <si>
    <t>Pipelines e componentes de ML em Kubernetes</t>
  </si>
  <si>
    <t>Ecossistema para treinar, orquestrar e servir modelos em Kubernetes.</t>
  </si>
  <si>
    <t>Projetos MLOps em escala com infraestrutura Kubernetes.</t>
  </si>
  <si>
    <t>https://www.kubeflow.org/docs/</t>
  </si>
  <si>
    <t>https://www.google.com/s2/favicons?domain=kubeflow.org&amp;sz=64</t>
  </si>
  <si>
    <t>ReviewNB recebeu score considerando popularidade geral (3/5), uso/aderência institucional em VE (3/5), especificidade para VE (1/5) e adequação para execução de projetos (3/5).</t>
  </si>
  <si>
    <t>Revisão de notebooks</t>
  </si>
  <si>
    <t>ReviewNB</t>
  </si>
  <si>
    <t>Revisão visual de diffs em notebooks Jupyter</t>
  </si>
  <si>
    <t>Ferramenta para pull requests e revisão colaborativa de notebooks.</t>
  </si>
  <si>
    <t>Equipes que usam notebooks como artefatos revisáveis.</t>
  </si>
  <si>
    <t>https://www.reviewnb.com/</t>
  </si>
  <si>
    <t>https://www.google.com/s2/favicons?domain=reviewnb.com&amp;sz=64</t>
  </si>
  <si>
    <t>tinytest recebeu score considerando popularidade geral (3/5), uso/aderência institucional em VE (3/5), especificidade para VE (1/5) e adequação para execução de projetos (3/5).</t>
  </si>
  <si>
    <t>tinytest</t>
  </si>
  <si>
    <t>Framework leve de testes para R</t>
  </si>
  <si>
    <t>Pacote R minimalista para testes automatizados.</t>
  </si>
  <si>
    <t>Projetos R simples, scripts e funções utilitárias.</t>
  </si>
  <si>
    <t>https://cran.r-project.org/package=tinytest</t>
  </si>
  <si>
    <t>https://www.google.com/s2/favicons?domain=cran.r-project.org&amp;sz=64</t>
  </si>
  <si>
    <t>ClearML recebeu score considerando popularidade geral (3/5), uso/aderência institucional em VE (2/5), especificidade para VE (1/5) e adequação para execução de projetos (4/5).</t>
  </si>
  <si>
    <t>ClearML</t>
  </si>
  <si>
    <t>Open source; planos pagos/cloud</t>
  </si>
  <si>
    <t>Experimentos, orquestração, datasets e model registry</t>
  </si>
  <si>
    <t>Plataforma MLOps para rastrear, orquestrar e gerenciar artefatos de ML.</t>
  </si>
  <si>
    <t>Treinamento, filas, automação e rastreamento de modelos.</t>
  </si>
  <si>
    <t>https://clear.ml/docs/latest/docs/</t>
  </si>
  <si>
    <t>https://www.google.com/s2/favicons?domain=clear.ml&amp;sz=64</t>
  </si>
  <si>
    <t>Deequ recebeu score considerando popularidade geral (3/5), uso/aderência institucional em VE (2/5), especificidade para VE (1/5) e adequação para execução de projetos (4/5).</t>
  </si>
  <si>
    <t>Validação de dados em escala</t>
  </si>
  <si>
    <t>Deequ</t>
  </si>
  <si>
    <t>Testes de qualidade para grandes datasets em Spark</t>
  </si>
  <si>
    <t>Biblioteca para definir métricas e constraints de qualidade de dados em Spark.</t>
  </si>
  <si>
    <t>Validar bases grandes, pipelines distribuídos e regras de qualidade em data lake.</t>
  </si>
  <si>
    <t>https://github.com/awslabs/deequ</t>
  </si>
  <si>
    <t>Doppler recebeu score considerando popularidade geral (3/5), uso/aderência institucional em VE (2/5), especificidade para VE (1/5) e adequação para execução de projetos (4/5).</t>
  </si>
  <si>
    <t>Doppler</t>
  </si>
  <si>
    <t>Gerenciamento centralizado de secrets e configs</t>
  </si>
  <si>
    <t>Plataforma para armazenar e sincronizar variáveis de ambiente e segredos.</t>
  </si>
  <si>
    <t>Controle de secrets em desenvolvimento, CI e deploy.</t>
  </si>
  <si>
    <t>https://docs.doppler.com/</t>
  </si>
  <si>
    <t>https://www.google.com/s2/favicons?domain=docs.doppler.com&amp;sz=64</t>
  </si>
  <si>
    <t>Metaflow recebeu score considerando popularidade geral (3/5), uso/aderência institucional em VE (2/5), especificidade para VE (1/5) e adequação para execução de projetos (4/5).</t>
  </si>
  <si>
    <t>Workflows de ciência de dados</t>
  </si>
  <si>
    <t>Metaflow</t>
  </si>
  <si>
    <t>Open source; serviços comerciais existem</t>
  </si>
  <si>
    <t>Framework Python para workflows de ML e dados</t>
  </si>
  <si>
    <t>Ferramenta para construir e executar workflows de dados/ML com versionamento de artefatos.</t>
  </si>
  <si>
    <t>Pipelines de modelagem, experimentação, jobs em batch e deploy.</t>
  </si>
  <si>
    <t>https://docs.metaflow.org/</t>
  </si>
  <si>
    <t>https://www.google.com/s2/favicons?domain=docs.metaflow.org&amp;sz=64</t>
  </si>
  <si>
    <t>Neptune.ai recebeu score considerando popularidade geral (3/5), uso/aderência institucional em VE (2/5), especificidade para VE (1/5) e adequação para execução de projetos (4/5).</t>
  </si>
  <si>
    <t>Neptune.ai</t>
  </si>
  <si>
    <t>Rastreamento de experimentos, modelos e metadados</t>
  </si>
  <si>
    <t>Plataforma para acompanhar experimentos, modelos, métricas e artefatos.</t>
  </si>
  <si>
    <t>Projetos com muitos experimentos e necessidade de colaboração/auditoria.</t>
  </si>
  <si>
    <t>https://docs.neptune.ai/</t>
  </si>
  <si>
    <t>https://www.google.com/s2/favicons?domain=docs.neptune.ai&amp;sz=64</t>
  </si>
  <si>
    <t>Nix recebeu score considerando popularidade geral (3/5), uso/aderência institucional em VE (2/5), especificidade para VE (1/5) e adequação para execução de projetos (4/5).</t>
  </si>
  <si>
    <t>Ambientes reprodutíveis</t>
  </si>
  <si>
    <t>Nix</t>
  </si>
  <si>
    <t>Gerenciador de pacotes funcional e ambientes reprodutíveis</t>
  </si>
  <si>
    <t>Sistema para declarar ambientes e dependências de forma reprodutível.</t>
  </si>
  <si>
    <t>Projetos de alta reprodutibilidade, ambientes complexos e builds controlados.</t>
  </si>
  <si>
    <t>https://nixos.org/manual/nix/stable/</t>
  </si>
  <si>
    <t>https://www.google.com/s2/favicons?domain=nixos.org&amp;sz=64</t>
  </si>
  <si>
    <t>nox recebeu score considerando popularidade geral (3/5), uso/aderência institucional em VE (2/5), especificidade para VE (1/5) e adequação para execução de projetos (4/5).</t>
  </si>
  <si>
    <t>nox</t>
  </si>
  <si>
    <t>Automação de sessões Python para testes, lint e build</t>
  </si>
  <si>
    <t>Ferramenta para definir sessões automatizadas em Python.</t>
  </si>
  <si>
    <t>Testes multi-versão, lint, build de pacotes e CI em projetos Python.</t>
  </si>
  <si>
    <t>https://nox.thea.codes/</t>
  </si>
  <si>
    <t>https://www.google.com/s2/favicons?domain=nox.thea.codes&amp;sz=64</t>
  </si>
  <si>
    <t>TFX Data Validation recebeu score considerando popularidade geral (3/5), uso/aderência institucional em VE (2/5), especificidade para VE (1/5) e adequação para execução de projetos (4/5).</t>
  </si>
  <si>
    <t>Validação e schema de ML</t>
  </si>
  <si>
    <t>TFX Data Validation</t>
  </si>
  <si>
    <t>Estatísticas, schema e validação de dados para ML</t>
  </si>
  <si>
    <t>Componente do TensorFlow Extended para análise e validação de datasets.</t>
  </si>
  <si>
    <t>Detectar anomalias, drift e problemas de schema antes de treinamento.</t>
  </si>
  <si>
    <t>https://www.tensorflow.org/tfx/data_validation</t>
  </si>
  <si>
    <t>https://www.google.com/s2/favicons?domain=tensorflow.org&amp;sz=64</t>
  </si>
  <si>
    <t>WhyLabs recebeu score considerando popularidade geral (3/5), uso/aderência institucional em VE (2/5), especificidade para VE (1/5) e adequação para execução de projetos (4/5).</t>
  </si>
  <si>
    <t>Observabilidade de dados e ML</t>
  </si>
  <si>
    <t>WhyLabs</t>
  </si>
  <si>
    <t>Freemium/comercial</t>
  </si>
  <si>
    <t>Perfis, drift e monitoramento de modelos/dados</t>
  </si>
  <si>
    <t>Plataforma para observabilidade de datasets, modelos e pipelines.</t>
  </si>
  <si>
    <t>Monitoramento de qualidade, drift e integridade de features em produção.</t>
  </si>
  <si>
    <t>https://docs.whylabs.ai/</t>
  </si>
  <si>
    <t>https://www.google.com/s2/favicons?domain=docs.whylabs.ai&amp;sz=64</t>
  </si>
  <si>
    <t>Cerberus recebeu score considerando popularidade geral (3/5), uso/aderência institucional em VE (2/5), especificidade para VE (1/5) e adequação para execução de projetos (3/5).</t>
  </si>
  <si>
    <t>Validação de dados Python</t>
  </si>
  <si>
    <t>Cerberus</t>
  </si>
  <si>
    <t>Validação leve de documentos e dicionários Python</t>
  </si>
  <si>
    <t>Biblioteca para validar dados estruturados com schemas simples.</t>
  </si>
  <si>
    <t>Validação de configurações, pequenos JSONs e entradas de APIs.</t>
  </si>
  <si>
    <t>https://docs.python-cerberus.org/</t>
  </si>
  <si>
    <t>https://www.google.com/s2/favicons?domain=docs.python-cerberus.org&amp;sz=64</t>
  </si>
  <si>
    <t>KServe recebeu score considerando popularidade geral (3/5), uso/aderência institucional em VE (2/5), especificidade para VE (1/5) e adequação para execução de projetos (3/5).</t>
  </si>
  <si>
    <t>Serving de modelos</t>
  </si>
  <si>
    <t>KServe</t>
  </si>
  <si>
    <t>Gratuita/open source; exige Kubernetes</t>
  </si>
  <si>
    <t>Servir modelos em Kubernetes com padrões escaláveis</t>
  </si>
  <si>
    <t>Plataforma para inferência serverless/standard em Kubernetes.</t>
  </si>
  <si>
    <t>Implantação de modelos em ambientes corporativos e escaláveis.</t>
  </si>
  <si>
    <t>https://kserve.github.io/website/latest/</t>
  </si>
  <si>
    <t>https://www.google.com/s2/favicons?domain=kserve.github.io&amp;sz=64</t>
  </si>
  <si>
    <t>Luigi recebeu score considerando popularidade geral (3/5), uso/aderência institucional em VE (2/5), especificidade para VE (1/5) e adequação para execução de projetos (3/5).</t>
  </si>
  <si>
    <t>Luigi</t>
  </si>
  <si>
    <t>Pipelines batch em Python</t>
  </si>
  <si>
    <t>Ferramenta para construir pipelines dependentes de tarefas em Python.</t>
  </si>
  <si>
    <t>Fluxos batch mais simples, legados ou auto-hospedados.</t>
  </si>
  <si>
    <t>https://luigi.readthedocs.io/</t>
  </si>
  <si>
    <t>https://www.google.com/s2/favicons?domain=luigi.readthedocs.io&amp;sz=64</t>
  </si>
  <si>
    <t>Seldon Core recebeu score considerando popularidade geral (3/5), uso/aderência institucional em VE (2/5), especificidade para VE (1/5) e adequação para execução de projetos (3/5).</t>
  </si>
  <si>
    <t>Serving e MLOps</t>
  </si>
  <si>
    <t>Seldon Core</t>
  </si>
  <si>
    <t>Open source; enterprise pago</t>
  </si>
  <si>
    <t>Deploy e monitoramento de modelos em Kubernetes</t>
  </si>
  <si>
    <t>Plataforma para servir modelos, pipelines de inferência e monitoramento.</t>
  </si>
  <si>
    <t>Modelos em produção, governança e inferência escalável.</t>
  </si>
  <si>
    <t>https://docs.seldon.ai/</t>
  </si>
  <si>
    <t>https://www.google.com/s2/favicons?domain=docs.seldon.ai&amp;sz=64</t>
  </si>
  <si>
    <t>Yeoman recebeu score considerando popularidade geral (3/5), uso/aderência institucional em VE (2/5), especificidade para VE (1/5) e adequação para execução de projetos (3/5).</t>
  </si>
  <si>
    <t>Gerador de projetos</t>
  </si>
  <si>
    <t>Yeoman</t>
  </si>
  <si>
    <t>Scaffolding de projetos por geradores</t>
  </si>
  <si>
    <t>Ferramenta para criar estruturas de projeto a partir de geradores.</t>
  </si>
  <si>
    <t>Templates para apps, APIs e projetos com padrões institucionais.</t>
  </si>
  <si>
    <t>https://yeoman.io/</t>
  </si>
  <si>
    <t>https://www.google.com/s2/favicons?domain=yeoman.io&amp;sz=64</t>
  </si>
  <si>
    <t>campo</t>
  </si>
  <si>
    <t>descrição</t>
  </si>
  <si>
    <t>Classifica a modalidade predominante da ferramenta: open source, comercial/freemium, serviço cloud/gerenciado, padrão aberto ou combinação.</t>
  </si>
  <si>
    <t>Ordene a primeira aba pela coluna A em ordem crescente. Score = 35% popularidade geral + 35% uso institucional em VE + 20% especificidade VE + 10% adequação para execução de projetos.</t>
  </si>
  <si>
    <t>Ordene pela coluna B em ordem crescente para priorizar ferramentas mais conhecidas/usadas no público geral e na comunidade de dados/software.</t>
  </si>
  <si>
    <t>Ordene pela coluna C em ordem crescente para priorizar ferramentas com maior aderência a equipes institucionais de VE, saúde pública e ciência de dados aplicada.</t>
  </si>
  <si>
    <t>Ordene pela coluna D em ordem crescente para priorizar ferramentas específicas ou particularmente úteis no contexto epidemiológico/saúde pública.</t>
  </si>
  <si>
    <t>Ordene pela coluna E em ordem crescente para priorizar ferramentas mais adequadas à execução de projetos: versionamento, validação, automação, reprodutibilidade, MLOps e documentação.</t>
  </si>
  <si>
    <t>Coluna F contém fórmula do score balanceado. As colunas G:J trazem notas 1–5 de cada dimensão.</t>
  </si>
  <si>
    <t>URL de favicon/miniatura baseada no domínio da fonte oficial.</t>
  </si>
  <si>
    <t>Coluna de visualização com fórmula =IMAGE(thumbnail_url). A renderização depende do suporte do Excel/Google Sheets usado.</t>
  </si>
  <si>
    <t>sugestao_por_produto</t>
  </si>
  <si>
    <t>Aba com síntese de aplicações por cenário de uso; a primeira coluna se chama exatamente cenário.</t>
  </si>
  <si>
    <t>total_registros</t>
  </si>
  <si>
    <t>observação</t>
  </si>
  <si>
    <t>Ranking qualitativo e crítico, não bibliométrico. Ajuste conforme infraestrutura, política de segurança, contratos, maturidade da equipe e sensibilidade dos dados.</t>
  </si>
  <si>
    <t>data_geracao</t>
  </si>
  <si>
    <t>2026-05-28</t>
  </si>
  <si>
    <t>indicador</t>
  </si>
  <si>
    <t>valor</t>
  </si>
  <si>
    <t>rankings_disponiveis</t>
  </si>
  <si>
    <t>rank_balanceado; rank_popularidade_geral; rank_uso_institucional_ve; rank_especificidade_ve; rank_adequacao_informes</t>
  </si>
  <si>
    <t>coluna_modalidade</t>
  </si>
  <si>
    <t>coluna_thumbnail_padronizada</t>
  </si>
  <si>
    <t>coluna_visualizacao_thumbnail</t>
  </si>
  <si>
    <t>aba_sugestao_por_produto</t>
  </si>
  <si>
    <t>Incluída</t>
  </si>
  <si>
    <t>primeiro_campo_sugestao_por_produto</t>
  </si>
  <si>
    <t>cenário</t>
  </si>
  <si>
    <t>top_1_balanceado</t>
  </si>
  <si>
    <t>top_1_popularidade_geral</t>
  </si>
  <si>
    <t>top_1_uso_institucional_ve</t>
  </si>
  <si>
    <t>top_1_adequacao</t>
  </si>
  <si>
    <t>quantidade</t>
  </si>
  <si>
    <t>ferramentas_sugeridas</t>
  </si>
  <si>
    <t>quando_usar</t>
  </si>
  <si>
    <t>principais_entregaveis</t>
  </si>
  <si>
    <t>cuidados</t>
  </si>
  <si>
    <t>Projeto mínimo reprodutível em Python</t>
  </si>
  <si>
    <t>VS Code; Git; GitHub/GitLab; uv ou Poetry; pytest; Ruff; pre-commit; Quarto/MkDocs</t>
  </si>
  <si>
    <t>Quando a equipe precisa criar scripts, pacotes, APIs ou pipelines Python com versionamento e testes.</t>
  </si>
  <si>
    <t>Repositório Git; ambiente reproduzível; testes; lint; documentação; release interno.</t>
  </si>
  <si>
    <t>Padronizar estrutura, não versionar dados sensíveis e usar secrets fora do código.</t>
  </si>
  <si>
    <t>Projeto mínimo reprodutível em R</t>
  </si>
  <si>
    <t>RStudio/Posit; Git; renv; testthat; lintr; styler; Quarto; usethis/devtools</t>
  </si>
  <si>
    <t>Quando a equipe produz análises, relatórios, pacotes ou Shiny em R.</t>
  </si>
  <si>
    <t>Projeto R; lockfile; testes; pacote ou scripts; relatórios Quarto; documentação.</t>
  </si>
  <si>
    <t>Usar renv, separar dados brutos/processados e evitar outputs sensíveis em Git.</t>
  </si>
  <si>
    <t>Notebooks colaborativos e ensino</t>
  </si>
  <si>
    <t>JupyterLab; JupyterHub; Google Colab; Kaggle Notebooks; nbstripout; nbQA; Jupyter Book</t>
  </si>
  <si>
    <t>Quando a prioridade é exploração interativa, capacitação ou comunicação computacional.</t>
  </si>
  <si>
    <t>Notebooks; material didático; relatórios; ambientes executáveis; exemplos.</t>
  </si>
  <si>
    <t>Notebooks precisam de controle de dependências, limpeza de outputs e revisão de reprodutibilidade.</t>
  </si>
  <si>
    <t>Ambiente institucional seguro e reproduzível</t>
  </si>
  <si>
    <t>Docker; Dev Containers; Podman; Conda/Mamba; renv; Nix; HashiCorp Vault</t>
  </si>
  <si>
    <t>Quando há dados sensíveis, múltiplos usuários ou necessidade de padronizar ambientes.</t>
  </si>
  <si>
    <t>Container; lockfiles; secrets protegidos; documentação de ambiente; scripts de setup.</t>
  </si>
  <si>
    <t>Definir política de imagens, vulnerabilidades, permissões, rede e acesso a dados.</t>
  </si>
  <si>
    <t>Pipeline periódico de dados de vigilância</t>
  </si>
  <si>
    <t>Airflow; Dagster; Prefect; Great Expectations; Pandera; dbt tests; Grafana</t>
  </si>
  <si>
    <t>Quando bases são atualizadas periodicamente e precisam de validação antes de dashboards/modelos.</t>
  </si>
  <si>
    <t>DAGs; logs; validações; alertas; datasets tratados; trilha de auditoria.</t>
  </si>
  <si>
    <t>Monitorar falhas, atraso, completude, duplicidades e mudanças de layout/definição.</t>
  </si>
  <si>
    <t>Controle de qualidade e validação de dados</t>
  </si>
  <si>
    <t>Great Expectations; Pandera; Soda Core; Frictionless; Pydantic; JSON Schema; Deequ</t>
  </si>
  <si>
    <t>Quando a equipe precisa garantir contratos de dados e evitar indicadores errados.</t>
  </si>
  <si>
    <t>Schemas; checks; relatórios de qualidade; alertas; documentação de regras.</t>
  </si>
  <si>
    <t>As regras devem refletir definições epidemiológicas e serem revisadas quando sistemas mudarem.</t>
  </si>
  <si>
    <t>CI/CD para projetos analíticos</t>
  </si>
  <si>
    <t>GitHub Actions; GitLab CI/CD; Azure Pipelines; Jenkins; tox/nox; Docker</t>
  </si>
  <si>
    <t>Quando testes, validações, builds e publicações precisam rodar automaticamente.</t>
  </si>
  <si>
    <t>Pipelines de CI; testes automatizados; relatórios publicados; imagens; artefatos.</t>
  </si>
  <si>
    <t>Controlar permissões, secrets, runners, custos e dependências externas.</t>
  </si>
  <si>
    <t>Versionamento de dados, modelos e experimentos</t>
  </si>
  <si>
    <t>DVC; MLflow; lakeFS; Quilt; Weights &amp; Biases; Neptune; ClearML</t>
  </si>
  <si>
    <t>Quando há muitos datasets, features, modelos ou experimentos a comparar.</t>
  </si>
  <si>
    <t>Artefatos versionados; métricas; registry; lineage; experiment tracking.</t>
  </si>
  <si>
    <t>Definir política para dados sensíveis, armazenamento externo, retenção e acesso.</t>
  </si>
  <si>
    <t>Deploy e monitoramento de modelos</t>
  </si>
  <si>
    <t>MLflow; BentoML; KServe; Seldon Core; Evidently; NannyML; Prometheus; Grafana; Sentry</t>
  </si>
  <si>
    <t>Quando modelos saem do notebook e viram serviços ou rotinas de produção.</t>
  </si>
  <si>
    <t>API de modelo; registry; monitoramento; alertas; relatórios de drift/performance.</t>
  </si>
  <si>
    <t>Monitorar drift, rótulos atrasados, fairness, retraining, segurança e explicabilidade.</t>
  </si>
  <si>
    <t>Documentação e disseminação técnica</t>
  </si>
  <si>
    <t>Quarto; MkDocs; Sphinx; Jupyter Book; GitHub Pages; Read the Docs; Confluence</t>
  </si>
  <si>
    <t>Quando o produto precisa ser compreensível, auditável e reutilizável pela equipe.</t>
  </si>
  <si>
    <t>Manuais; documentação de APIs; relatórios; sites; guias de metodologia.</t>
  </si>
  <si>
    <t>Manter documentação junto ao código e revisar quando indicadores ou pipelines mudarem.</t>
  </si>
  <si>
    <t>Gestão de tarefas, revisão e governança</t>
  </si>
  <si>
    <t>GitHub Issues/Projects; GitLab Boards; Jira; Confluence; Notion; Trello</t>
  </si>
  <si>
    <t>Quando a equipe precisa organizar backlog, decisões, bugs, riscos e releases.</t>
  </si>
  <si>
    <t>Backlog; issues; atas; decisões metodológicas; roadmap; changelog.</t>
  </si>
  <si>
    <t>Evitar que decisões técnicas fiquem fora do repositório; ligar issues a commits/PRs.</t>
  </si>
  <si>
    <t>Segurança de código e segredos</t>
  </si>
  <si>
    <t>pre-commit; Gitleaks; TruffleHog; Semgrep; CodeQL; Bandit; HashiCorp Vault; SOPS</t>
  </si>
  <si>
    <t>Quando projetos acessam bancos, APIs, dados sensíveis ou infraestruturas protegidas.</t>
  </si>
  <si>
    <t>Checks de secrets; scans de segurança; segredos protegidos; políticas de commit.</t>
  </si>
  <si>
    <t>Nunca armazenar tokens em notebooks, commits ou planilhas; revisar histórico antes de publicar.</t>
  </si>
  <si>
    <t>cenario</t>
  </si>
  <si>
    <t>https://quarto.org/docs/get-started/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</si>
</sst>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bgColor rgb="FFE0F2FE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rramentasExecucaoProjetos" displayName="FerramentasExecucaoProjetos" ref="A1:AB138">
  <tableColumns count="28">
    <tableColumn id="1" xr3:uid="{00000000-0010-0000-0000-000001000000}" name="rank_balanceado"/>
    <tableColumn id="2" xr3:uid="{00000000-0010-0000-0000-000002000000}" name="rank_popularidade_geral"/>
    <tableColumn id="3" xr3:uid="{00000000-0010-0000-0000-000003000000}" name="rank_uso_institucional_ve"/>
    <tableColumn id="4" xr3:uid="{00000000-0010-0000-0000-000004000000}" name="rank_especificidade_ve"/>
    <tableColumn id="5" xr3:uid="{00000000-0010-0000-0000-000005000000}" name="rank_adequacao_informes"/>
    <tableColumn id="6" xr3:uid="{00000000-0010-0000-0000-000006000000}" name="score_balanceado"/>
    <tableColumn id="7" xr3:uid="{00000000-0010-0000-0000-000007000000}" name="popularidade_geral_1a5"/>
    <tableColumn id="8" xr3:uid="{00000000-0010-0000-0000-000008000000}" name="uso_institucional_ve_1a5"/>
    <tableColumn id="9" xr3:uid="{00000000-0010-0000-0000-000009000000}" name="especificidade_ve_1a5"/>
    <tableColumn id="10" xr3:uid="{00000000-0010-0000-0000-00000A000000}" name="adequacao_informes_1a5"/>
    <tableColumn id="11" xr3:uid="{00000000-0010-0000-0000-00000B000000}" name="origem_tipo"/>
    <tableColumn id="12" xr3:uid="{00000000-0010-0000-0000-00000C000000}" name="nota_criterio_ranking"/>
    <tableColumn id="13" xr3:uid="{00000000-0010-0000-0000-00000D000000}" name="categoria"/>
    <tableColumn id="14" xr3:uid="{00000000-0010-0000-0000-00000E000000}" name="ferramenta"/>
    <tableColumn id="15" xr3:uid="{00000000-0010-0000-0000-00000F000000}" name="tipo"/>
    <tableColumn id="16" xr3:uid="{00000000-0010-0000-0000-000010000000}" name="gratuita_ou_paga"/>
    <tableColumn id="17" xr3:uid="{00000000-0010-0000-0000-000011000000}" name="generica_ou_especifica_ve"/>
    <tableColumn id="18" xr3:uid="{00000000-0010-0000-0000-000012000000}" name="escopo"/>
    <tableColumn id="19" xr3:uid="{00000000-0010-0000-0000-000013000000}" name="conteudo_principal"/>
    <tableColumn id="20" xr3:uid="{00000000-0010-0000-0000-000014000000}" name="uso_no_contexto_ve"/>
    <tableColumn id="21" xr3:uid="{00000000-0010-0000-0000-000015000000}" name="casos_de_aplicacao_na_area"/>
    <tableColumn id="22" xr3:uid="{00000000-0010-0000-0000-000016000000}" name="formatos_de_divulgacao"/>
    <tableColumn id="23" xr3:uid="{00000000-0010-0000-0000-000017000000}" name="publico_alvo"/>
    <tableColumn id="24" xr3:uid="{00000000-0010-0000-0000-000018000000}" name="potencial_para_ve_e_ciencia_de_dados"/>
    <tableColumn id="25" xr3:uid="{00000000-0010-0000-0000-000019000000}" name="cuidados_observacoes"/>
    <tableColumn id="26" xr3:uid="{00000000-0010-0000-0000-00001A000000}" name="fonte"/>
    <tableColumn id="27" xr3:uid="{00000000-0010-0000-0000-00001B000000}" name="thumbnail_url"/>
    <tableColumn id="28" xr3:uid="{00000000-0010-0000-0000-00001C000000}" name="thumbnai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riterios" displayName="Criterios" ref="A1:B14">
  <tableColumns count="2">
    <tableColumn id="1" xr3:uid="{00000000-0010-0000-0100-000001000000}" name="campo"/>
    <tableColumn id="2" xr3:uid="{00000000-0010-0000-0100-000002000000}" name="descriçã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sumo" displayName="Resumo" ref="A1:B13">
  <tableColumns count="2">
    <tableColumn id="1" xr3:uid="{00000000-0010-0000-0200-000001000000}" name="indicador"/>
    <tableColumn id="2" xr3:uid="{00000000-0010-0000-0200-000002000000}" name="val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umoCategorias" displayName="ResumoCategorias" ref="A17:B122">
  <tableColumns count="2">
    <tableColumn id="1" xr3:uid="{00000000-0010-0000-0300-000001000000}" name="categoria"/>
    <tableColumn id="2" xr3:uid="{00000000-0010-0000-0300-000002000000}" name="quantidad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ugestaoPorProduto" displayName="SugestaoPorProduto" ref="A1:E13">
  <tableColumns count="5">
    <tableColumn id="1" xr3:uid="{00000000-0010-0000-0400-000001000000}" name="cenario"/>
    <tableColumn id="2" xr3:uid="{00000000-0010-0000-0400-000002000000}" name="ferramentas_sugeridas"/>
    <tableColumn id="3" xr3:uid="{00000000-0010-0000-0400-000003000000}" name="quando_usar"/>
    <tableColumn id="4" xr3:uid="{00000000-0010-0000-0400-000004000000}" name="principais_entregaveis"/>
    <tableColumn id="5" xr3:uid="{00000000-0010-0000-0400-000005000000}" name="cuida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8"/>
  <sheetViews>
    <sheetView tabSelected="1" topLeftCell="Y1" workbookViewId="0">
      <selection activeCell="Z4" sqref="Z4"/>
    </sheetView>
  </sheetViews>
  <sheetFormatPr defaultRowHeight="13.8"/>
  <cols>
    <col min="1" max="5" width="17" customWidth="1"/>
    <col min="6" max="6" width="16" customWidth="1"/>
    <col min="7" max="10" width="18" customWidth="1"/>
    <col min="11" max="11" width="24" customWidth="1"/>
    <col min="12" max="12" width="58" customWidth="1"/>
    <col min="13" max="13" width="38" customWidth="1"/>
    <col min="14" max="14" width="34" customWidth="1"/>
    <col min="15" max="16" width="42" customWidth="1"/>
    <col min="17" max="17" width="44" customWidth="1"/>
    <col min="18" max="18" width="48" customWidth="1"/>
    <col min="19" max="19" width="56" customWidth="1"/>
    <col min="20" max="20" width="24" customWidth="1"/>
    <col min="21" max="21" width="64" customWidth="1"/>
    <col min="22" max="22" width="54" customWidth="1"/>
    <col min="23" max="23" width="52" customWidth="1"/>
    <col min="24" max="24" width="64" customWidth="1"/>
    <col min="25" max="25" width="62" customWidth="1"/>
    <col min="26" max="26" width="60" customWidth="1"/>
    <col min="27" max="27" width="54" customWidth="1"/>
    <col min="28" max="28" width="14" customWidth="1"/>
  </cols>
  <sheetData>
    <row r="1" spans="1:28" ht="27.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33.6" customHeight="1">
      <c r="A2" s="5">
        <v>1</v>
      </c>
      <c r="B2" s="5">
        <v>1</v>
      </c>
      <c r="C2" s="5">
        <v>1</v>
      </c>
      <c r="D2" s="5">
        <v>3</v>
      </c>
      <c r="E2" s="5">
        <v>1</v>
      </c>
      <c r="F2" s="6">
        <f t="shared" ref="F2:F33" si="0">ROUND(0.35*G2+0.35*H2+0.2*I2+0.1*J2,2)</f>
        <v>4.4000000000000004</v>
      </c>
      <c r="G2" s="5">
        <v>5</v>
      </c>
      <c r="H2" s="5">
        <v>5</v>
      </c>
      <c r="I2" s="5">
        <v>2</v>
      </c>
      <c r="J2" s="5">
        <v>5</v>
      </c>
      <c r="K2" s="4" t="s">
        <v>28</v>
      </c>
      <c r="L2" s="4" t="s">
        <v>29</v>
      </c>
      <c r="M2" s="4" t="s">
        <v>30</v>
      </c>
      <c r="N2" s="4" t="s">
        <v>31</v>
      </c>
      <c r="O2" s="4" t="s">
        <v>32</v>
      </c>
      <c r="P2" s="4" t="s">
        <v>33</v>
      </c>
      <c r="Q2" s="4" t="s">
        <v>34</v>
      </c>
      <c r="R2" s="4" t="s">
        <v>35</v>
      </c>
      <c r="S2" s="4" t="s">
        <v>36</v>
      </c>
      <c r="T2" s="4" t="s">
        <v>37</v>
      </c>
      <c r="U2" s="4" t="s">
        <v>38</v>
      </c>
      <c r="V2" s="4" t="s">
        <v>39</v>
      </c>
      <c r="W2" s="4" t="s">
        <v>40</v>
      </c>
      <c r="X2" s="4" t="s">
        <v>38</v>
      </c>
      <c r="Y2" s="4" t="s">
        <v>41</v>
      </c>
      <c r="Z2" s="4" t="s">
        <v>1252</v>
      </c>
      <c r="AA2" s="4" t="s">
        <v>42</v>
      </c>
      <c r="AB2" s="7" t="e">
        <f t="shared" ref="AB2:AB33" ca="1" si="1">_xludf.IMAGE(AA2)</f>
        <v>#NAME?</v>
      </c>
    </row>
    <row r="3" spans="1:28" ht="33.6" customHeight="1">
      <c r="A3" s="5">
        <v>2</v>
      </c>
      <c r="B3" s="5">
        <v>2</v>
      </c>
      <c r="C3" s="5">
        <v>2</v>
      </c>
      <c r="D3" s="5">
        <v>4</v>
      </c>
      <c r="E3" s="5">
        <v>2</v>
      </c>
      <c r="F3" s="6">
        <f t="shared" si="0"/>
        <v>4.4000000000000004</v>
      </c>
      <c r="G3" s="5">
        <v>5</v>
      </c>
      <c r="H3" s="5">
        <v>5</v>
      </c>
      <c r="I3" s="5">
        <v>2</v>
      </c>
      <c r="J3" s="5">
        <v>5</v>
      </c>
      <c r="K3" s="4" t="s">
        <v>43</v>
      </c>
      <c r="L3" s="4" t="s">
        <v>44</v>
      </c>
      <c r="M3" s="4" t="s">
        <v>45</v>
      </c>
      <c r="N3" s="4" t="s">
        <v>46</v>
      </c>
      <c r="O3" s="4" t="s">
        <v>32</v>
      </c>
      <c r="P3" s="4" t="s">
        <v>47</v>
      </c>
      <c r="Q3" s="4" t="s">
        <v>34</v>
      </c>
      <c r="R3" s="4" t="s">
        <v>48</v>
      </c>
      <c r="S3" s="4" t="s">
        <v>49</v>
      </c>
      <c r="T3" s="4" t="s">
        <v>37</v>
      </c>
      <c r="U3" s="4" t="s">
        <v>50</v>
      </c>
      <c r="V3" s="4" t="s">
        <v>39</v>
      </c>
      <c r="W3" s="4" t="s">
        <v>40</v>
      </c>
      <c r="X3" s="4" t="s">
        <v>50</v>
      </c>
      <c r="Y3" s="4" t="s">
        <v>41</v>
      </c>
      <c r="Z3" s="4" t="s">
        <v>51</v>
      </c>
      <c r="AA3" s="4" t="s">
        <v>52</v>
      </c>
      <c r="AB3" s="7" t="e">
        <f t="shared" ca="1" si="1"/>
        <v>#NAME?</v>
      </c>
    </row>
    <row r="4" spans="1:28" ht="33.6" customHeight="1">
      <c r="A4" s="5">
        <v>3</v>
      </c>
      <c r="B4" s="5">
        <v>3</v>
      </c>
      <c r="C4" s="5">
        <v>3</v>
      </c>
      <c r="D4" s="5">
        <v>5</v>
      </c>
      <c r="E4" s="5">
        <v>3</v>
      </c>
      <c r="F4" s="6">
        <f t="shared" si="0"/>
        <v>4.4000000000000004</v>
      </c>
      <c r="G4" s="5">
        <v>5</v>
      </c>
      <c r="H4" s="5">
        <v>5</v>
      </c>
      <c r="I4" s="5">
        <v>2</v>
      </c>
      <c r="J4" s="5">
        <v>5</v>
      </c>
      <c r="K4" s="4" t="s">
        <v>43</v>
      </c>
      <c r="L4" s="4" t="s">
        <v>53</v>
      </c>
      <c r="M4" s="4" t="s">
        <v>54</v>
      </c>
      <c r="N4" s="4" t="s">
        <v>55</v>
      </c>
      <c r="O4" s="4" t="s">
        <v>32</v>
      </c>
      <c r="P4" s="4" t="s">
        <v>56</v>
      </c>
      <c r="Q4" s="4" t="s">
        <v>34</v>
      </c>
      <c r="R4" s="4" t="s">
        <v>57</v>
      </c>
      <c r="S4" s="4" t="s">
        <v>58</v>
      </c>
      <c r="T4" s="4" t="s">
        <v>37</v>
      </c>
      <c r="U4" s="4" t="s">
        <v>59</v>
      </c>
      <c r="V4" s="4" t="s">
        <v>39</v>
      </c>
      <c r="W4" s="4" t="s">
        <v>40</v>
      </c>
      <c r="X4" s="4" t="s">
        <v>59</v>
      </c>
      <c r="Y4" s="4" t="s">
        <v>41</v>
      </c>
      <c r="Z4" s="4" t="s">
        <v>60</v>
      </c>
      <c r="AA4" s="4" t="s">
        <v>61</v>
      </c>
      <c r="AB4" s="7" t="e">
        <f t="shared" ca="1" si="1"/>
        <v>#NAME?</v>
      </c>
    </row>
    <row r="5" spans="1:28" ht="33.6" customHeight="1">
      <c r="A5" s="5">
        <v>4</v>
      </c>
      <c r="B5" s="5">
        <v>4</v>
      </c>
      <c r="C5" s="5">
        <v>4</v>
      </c>
      <c r="D5" s="5">
        <v>6</v>
      </c>
      <c r="E5" s="5">
        <v>46</v>
      </c>
      <c r="F5" s="6">
        <f t="shared" si="0"/>
        <v>4.3</v>
      </c>
      <c r="G5" s="5">
        <v>5</v>
      </c>
      <c r="H5" s="5">
        <v>5</v>
      </c>
      <c r="I5" s="5">
        <v>2</v>
      </c>
      <c r="J5" s="5">
        <v>4</v>
      </c>
      <c r="K5" s="4" t="s">
        <v>28</v>
      </c>
      <c r="L5" s="4" t="s">
        <v>62</v>
      </c>
      <c r="M5" s="4" t="s">
        <v>63</v>
      </c>
      <c r="N5" s="4" t="s">
        <v>64</v>
      </c>
      <c r="O5" s="4" t="s">
        <v>32</v>
      </c>
      <c r="P5" s="4" t="s">
        <v>33</v>
      </c>
      <c r="Q5" s="4" t="s">
        <v>34</v>
      </c>
      <c r="R5" s="4" t="s">
        <v>65</v>
      </c>
      <c r="S5" s="4" t="s">
        <v>66</v>
      </c>
      <c r="T5" s="4" t="s">
        <v>37</v>
      </c>
      <c r="U5" s="4" t="s">
        <v>67</v>
      </c>
      <c r="V5" s="4" t="s">
        <v>39</v>
      </c>
      <c r="W5" s="4" t="s">
        <v>40</v>
      </c>
      <c r="X5" s="4" t="s">
        <v>67</v>
      </c>
      <c r="Y5" s="4" t="s">
        <v>41</v>
      </c>
      <c r="Z5" s="4" t="s">
        <v>68</v>
      </c>
      <c r="AA5" s="4" t="s">
        <v>69</v>
      </c>
      <c r="AB5" s="7" t="e">
        <f t="shared" ca="1" si="1"/>
        <v>#NAME?</v>
      </c>
    </row>
    <row r="6" spans="1:28" ht="33.6" customHeight="1">
      <c r="A6" s="5">
        <v>5</v>
      </c>
      <c r="B6" s="5">
        <v>5</v>
      </c>
      <c r="C6" s="5">
        <v>5</v>
      </c>
      <c r="D6" s="5">
        <v>15</v>
      </c>
      <c r="E6" s="5">
        <v>4</v>
      </c>
      <c r="F6" s="6">
        <f t="shared" si="0"/>
        <v>4.2</v>
      </c>
      <c r="G6" s="5">
        <v>5</v>
      </c>
      <c r="H6" s="5">
        <v>5</v>
      </c>
      <c r="I6" s="5">
        <v>1</v>
      </c>
      <c r="J6" s="5">
        <v>5</v>
      </c>
      <c r="K6" s="4" t="s">
        <v>28</v>
      </c>
      <c r="L6" s="4" t="s">
        <v>70</v>
      </c>
      <c r="M6" s="4" t="s">
        <v>71</v>
      </c>
      <c r="N6" s="4" t="s">
        <v>72</v>
      </c>
      <c r="O6" s="4" t="s">
        <v>32</v>
      </c>
      <c r="P6" s="4" t="s">
        <v>33</v>
      </c>
      <c r="Q6" s="4" t="s">
        <v>34</v>
      </c>
      <c r="R6" s="4" t="s">
        <v>73</v>
      </c>
      <c r="S6" s="4" t="s">
        <v>74</v>
      </c>
      <c r="T6" s="4" t="s">
        <v>37</v>
      </c>
      <c r="U6" s="4" t="s">
        <v>75</v>
      </c>
      <c r="V6" s="4" t="s">
        <v>39</v>
      </c>
      <c r="W6" s="4" t="s">
        <v>40</v>
      </c>
      <c r="X6" s="4" t="s">
        <v>75</v>
      </c>
      <c r="Y6" s="4" t="s">
        <v>41</v>
      </c>
      <c r="Z6" s="4" t="s">
        <v>76</v>
      </c>
      <c r="AA6" s="4" t="s">
        <v>77</v>
      </c>
      <c r="AB6" s="7" t="e">
        <f t="shared" ca="1" si="1"/>
        <v>#NAME?</v>
      </c>
    </row>
    <row r="7" spans="1:28" ht="33.6" customHeight="1">
      <c r="A7" s="5">
        <v>6</v>
      </c>
      <c r="B7" s="5">
        <v>6</v>
      </c>
      <c r="C7" s="5">
        <v>6</v>
      </c>
      <c r="D7" s="5">
        <v>16</v>
      </c>
      <c r="E7" s="5">
        <v>5</v>
      </c>
      <c r="F7" s="6">
        <f t="shared" si="0"/>
        <v>4.2</v>
      </c>
      <c r="G7" s="5">
        <v>5</v>
      </c>
      <c r="H7" s="5">
        <v>5</v>
      </c>
      <c r="I7" s="5">
        <v>1</v>
      </c>
      <c r="J7" s="5">
        <v>5</v>
      </c>
      <c r="K7" s="4" t="s">
        <v>78</v>
      </c>
      <c r="L7" s="4" t="s">
        <v>79</v>
      </c>
      <c r="M7" s="4" t="s">
        <v>80</v>
      </c>
      <c r="N7" s="4" t="s">
        <v>81</v>
      </c>
      <c r="O7" s="4" t="s">
        <v>32</v>
      </c>
      <c r="P7" s="4" t="s">
        <v>82</v>
      </c>
      <c r="Q7" s="4" t="s">
        <v>34</v>
      </c>
      <c r="R7" s="4" t="s">
        <v>83</v>
      </c>
      <c r="S7" s="4" t="s">
        <v>84</v>
      </c>
      <c r="T7" s="4" t="s">
        <v>37</v>
      </c>
      <c r="U7" s="4" t="s">
        <v>85</v>
      </c>
      <c r="V7" s="4" t="s">
        <v>39</v>
      </c>
      <c r="W7" s="4" t="s">
        <v>40</v>
      </c>
      <c r="X7" s="4" t="s">
        <v>85</v>
      </c>
      <c r="Y7" s="4" t="s">
        <v>41</v>
      </c>
      <c r="Z7" s="4" t="s">
        <v>86</v>
      </c>
      <c r="AA7" s="4" t="s">
        <v>87</v>
      </c>
      <c r="AB7" s="7" t="e">
        <f t="shared" ca="1" si="1"/>
        <v>#NAME?</v>
      </c>
    </row>
    <row r="8" spans="1:28" ht="33.6" customHeight="1">
      <c r="A8" s="5">
        <v>7</v>
      </c>
      <c r="B8" s="5">
        <v>7</v>
      </c>
      <c r="C8" s="5">
        <v>7</v>
      </c>
      <c r="D8" s="5">
        <v>17</v>
      </c>
      <c r="E8" s="5">
        <v>6</v>
      </c>
      <c r="F8" s="6">
        <f t="shared" si="0"/>
        <v>4.2</v>
      </c>
      <c r="G8" s="5">
        <v>5</v>
      </c>
      <c r="H8" s="5">
        <v>5</v>
      </c>
      <c r="I8" s="5">
        <v>1</v>
      </c>
      <c r="J8" s="5">
        <v>5</v>
      </c>
      <c r="K8" s="4" t="s">
        <v>28</v>
      </c>
      <c r="L8" s="4" t="s">
        <v>88</v>
      </c>
      <c r="M8" s="4" t="s">
        <v>89</v>
      </c>
      <c r="N8" s="4" t="s">
        <v>90</v>
      </c>
      <c r="O8" s="4" t="s">
        <v>32</v>
      </c>
      <c r="P8" s="4" t="s">
        <v>91</v>
      </c>
      <c r="Q8" s="4" t="s">
        <v>34</v>
      </c>
      <c r="R8" s="4" t="s">
        <v>92</v>
      </c>
      <c r="S8" s="4" t="s">
        <v>93</v>
      </c>
      <c r="T8" s="4" t="s">
        <v>37</v>
      </c>
      <c r="U8" s="4" t="s">
        <v>94</v>
      </c>
      <c r="V8" s="4" t="s">
        <v>39</v>
      </c>
      <c r="W8" s="4" t="s">
        <v>40</v>
      </c>
      <c r="X8" s="4" t="s">
        <v>94</v>
      </c>
      <c r="Y8" s="4" t="s">
        <v>41</v>
      </c>
      <c r="Z8" s="4" t="s">
        <v>95</v>
      </c>
      <c r="AA8" s="4" t="s">
        <v>96</v>
      </c>
      <c r="AB8" s="7" t="e">
        <f t="shared" ca="1" si="1"/>
        <v>#NAME?</v>
      </c>
    </row>
    <row r="9" spans="1:28" ht="33.6" customHeight="1">
      <c r="A9" s="5">
        <v>8</v>
      </c>
      <c r="B9" s="5">
        <v>8</v>
      </c>
      <c r="C9" s="5">
        <v>8</v>
      </c>
      <c r="D9" s="5">
        <v>18</v>
      </c>
      <c r="E9" s="5">
        <v>7</v>
      </c>
      <c r="F9" s="6">
        <f t="shared" si="0"/>
        <v>4.2</v>
      </c>
      <c r="G9" s="5">
        <v>5</v>
      </c>
      <c r="H9" s="5">
        <v>5</v>
      </c>
      <c r="I9" s="5">
        <v>1</v>
      </c>
      <c r="J9" s="5">
        <v>5</v>
      </c>
      <c r="K9" s="4" t="s">
        <v>43</v>
      </c>
      <c r="L9" s="4" t="s">
        <v>97</v>
      </c>
      <c r="M9" s="4" t="s">
        <v>45</v>
      </c>
      <c r="N9" s="4" t="s">
        <v>98</v>
      </c>
      <c r="O9" s="4" t="s">
        <v>32</v>
      </c>
      <c r="P9" s="4" t="s">
        <v>99</v>
      </c>
      <c r="Q9" s="4" t="s">
        <v>34</v>
      </c>
      <c r="R9" s="4" t="s">
        <v>100</v>
      </c>
      <c r="S9" s="4" t="s">
        <v>101</v>
      </c>
      <c r="T9" s="4" t="s">
        <v>37</v>
      </c>
      <c r="U9" s="4" t="s">
        <v>102</v>
      </c>
      <c r="V9" s="4" t="s">
        <v>39</v>
      </c>
      <c r="W9" s="4" t="s">
        <v>40</v>
      </c>
      <c r="X9" s="4" t="s">
        <v>102</v>
      </c>
      <c r="Y9" s="4" t="s">
        <v>41</v>
      </c>
      <c r="Z9" s="4" t="s">
        <v>103</v>
      </c>
      <c r="AA9" s="4" t="s">
        <v>104</v>
      </c>
      <c r="AB9" s="7" t="e">
        <f t="shared" ca="1" si="1"/>
        <v>#NAME?</v>
      </c>
    </row>
    <row r="10" spans="1:28" ht="33.6" customHeight="1">
      <c r="A10" s="5">
        <v>9</v>
      </c>
      <c r="B10" s="5">
        <v>35</v>
      </c>
      <c r="C10" s="5">
        <v>9</v>
      </c>
      <c r="D10" s="5">
        <v>7</v>
      </c>
      <c r="E10" s="5">
        <v>8</v>
      </c>
      <c r="F10" s="6">
        <f t="shared" si="0"/>
        <v>4.05</v>
      </c>
      <c r="G10" s="5">
        <v>4</v>
      </c>
      <c r="H10" s="5">
        <v>5</v>
      </c>
      <c r="I10" s="5">
        <v>2</v>
      </c>
      <c r="J10" s="5">
        <v>5</v>
      </c>
      <c r="K10" s="4" t="s">
        <v>28</v>
      </c>
      <c r="L10" s="4" t="s">
        <v>105</v>
      </c>
      <c r="M10" s="4" t="s">
        <v>106</v>
      </c>
      <c r="N10" s="4" t="s">
        <v>107</v>
      </c>
      <c r="O10" s="4" t="s">
        <v>32</v>
      </c>
      <c r="P10" s="4" t="s">
        <v>33</v>
      </c>
      <c r="Q10" s="4" t="s">
        <v>34</v>
      </c>
      <c r="R10" s="4" t="s">
        <v>108</v>
      </c>
      <c r="S10" s="4" t="s">
        <v>109</v>
      </c>
      <c r="T10" s="4" t="s">
        <v>37</v>
      </c>
      <c r="U10" s="4" t="s">
        <v>110</v>
      </c>
      <c r="V10" s="4" t="s">
        <v>39</v>
      </c>
      <c r="W10" s="4" t="s">
        <v>40</v>
      </c>
      <c r="X10" s="4" t="s">
        <v>110</v>
      </c>
      <c r="Y10" s="4" t="s">
        <v>41</v>
      </c>
      <c r="Z10" s="4" t="s">
        <v>111</v>
      </c>
      <c r="AA10" s="4" t="s">
        <v>112</v>
      </c>
      <c r="AB10" s="7" t="e">
        <f t="shared" ca="1" si="1"/>
        <v>#NAME?</v>
      </c>
    </row>
    <row r="11" spans="1:28" ht="33.6" customHeight="1">
      <c r="A11" s="5">
        <v>10</v>
      </c>
      <c r="B11" s="5">
        <v>36</v>
      </c>
      <c r="C11" s="5">
        <v>10</v>
      </c>
      <c r="D11" s="5">
        <v>8</v>
      </c>
      <c r="E11" s="5">
        <v>9</v>
      </c>
      <c r="F11" s="6">
        <f t="shared" si="0"/>
        <v>4.05</v>
      </c>
      <c r="G11" s="5">
        <v>4</v>
      </c>
      <c r="H11" s="5">
        <v>5</v>
      </c>
      <c r="I11" s="5">
        <v>2</v>
      </c>
      <c r="J11" s="5">
        <v>5</v>
      </c>
      <c r="K11" s="4" t="s">
        <v>28</v>
      </c>
      <c r="L11" s="4" t="s">
        <v>113</v>
      </c>
      <c r="M11" s="4" t="s">
        <v>114</v>
      </c>
      <c r="N11" s="4" t="s">
        <v>115</v>
      </c>
      <c r="O11" s="4" t="s">
        <v>32</v>
      </c>
      <c r="P11" s="4" t="s">
        <v>33</v>
      </c>
      <c r="Q11" s="4" t="s">
        <v>34</v>
      </c>
      <c r="R11" s="4" t="s">
        <v>116</v>
      </c>
      <c r="S11" s="4" t="s">
        <v>117</v>
      </c>
      <c r="T11" s="4" t="s">
        <v>37</v>
      </c>
      <c r="U11" s="4" t="s">
        <v>118</v>
      </c>
      <c r="V11" s="4" t="s">
        <v>39</v>
      </c>
      <c r="W11" s="4" t="s">
        <v>40</v>
      </c>
      <c r="X11" s="4" t="s">
        <v>118</v>
      </c>
      <c r="Y11" s="4" t="s">
        <v>41</v>
      </c>
      <c r="Z11" s="4" t="s">
        <v>119</v>
      </c>
      <c r="AA11" s="4" t="s">
        <v>120</v>
      </c>
      <c r="AB11" s="7" t="e">
        <f t="shared" ca="1" si="1"/>
        <v>#NAME?</v>
      </c>
    </row>
    <row r="12" spans="1:28" ht="33.6" customHeight="1">
      <c r="A12" s="5">
        <v>11</v>
      </c>
      <c r="B12" s="5">
        <v>37</v>
      </c>
      <c r="C12" s="5">
        <v>11</v>
      </c>
      <c r="D12" s="5">
        <v>9</v>
      </c>
      <c r="E12" s="5">
        <v>10</v>
      </c>
      <c r="F12" s="6">
        <f t="shared" si="0"/>
        <v>4.05</v>
      </c>
      <c r="G12" s="5">
        <v>4</v>
      </c>
      <c r="H12" s="5">
        <v>5</v>
      </c>
      <c r="I12" s="5">
        <v>2</v>
      </c>
      <c r="J12" s="5">
        <v>5</v>
      </c>
      <c r="K12" s="4" t="s">
        <v>28</v>
      </c>
      <c r="L12" s="4" t="s">
        <v>121</v>
      </c>
      <c r="M12" s="4" t="s">
        <v>122</v>
      </c>
      <c r="N12" s="4" t="s">
        <v>123</v>
      </c>
      <c r="O12" s="4" t="s">
        <v>32</v>
      </c>
      <c r="P12" s="4" t="s">
        <v>33</v>
      </c>
      <c r="Q12" s="4" t="s">
        <v>34</v>
      </c>
      <c r="R12" s="4" t="s">
        <v>124</v>
      </c>
      <c r="S12" s="4" t="s">
        <v>125</v>
      </c>
      <c r="T12" s="4" t="s">
        <v>37</v>
      </c>
      <c r="U12" s="4" t="s">
        <v>126</v>
      </c>
      <c r="V12" s="4" t="s">
        <v>39</v>
      </c>
      <c r="W12" s="4" t="s">
        <v>40</v>
      </c>
      <c r="X12" s="4" t="s">
        <v>126</v>
      </c>
      <c r="Y12" s="4" t="s">
        <v>41</v>
      </c>
      <c r="Z12" s="4" t="s">
        <v>127</v>
      </c>
      <c r="AA12" s="4" t="s">
        <v>128</v>
      </c>
      <c r="AB12" s="7" t="e">
        <f t="shared" ca="1" si="1"/>
        <v>#NAME?</v>
      </c>
    </row>
    <row r="13" spans="1:28" ht="33.6" customHeight="1">
      <c r="A13" s="5">
        <v>12</v>
      </c>
      <c r="B13" s="5">
        <v>38</v>
      </c>
      <c r="C13" s="5">
        <v>12</v>
      </c>
      <c r="D13" s="5">
        <v>10</v>
      </c>
      <c r="E13" s="5">
        <v>11</v>
      </c>
      <c r="F13" s="6">
        <f t="shared" si="0"/>
        <v>4.05</v>
      </c>
      <c r="G13" s="5">
        <v>4</v>
      </c>
      <c r="H13" s="5">
        <v>5</v>
      </c>
      <c r="I13" s="5">
        <v>2</v>
      </c>
      <c r="J13" s="5">
        <v>5</v>
      </c>
      <c r="K13" s="4" t="s">
        <v>28</v>
      </c>
      <c r="L13" s="4" t="s">
        <v>129</v>
      </c>
      <c r="M13" s="4" t="s">
        <v>130</v>
      </c>
      <c r="N13" s="4" t="s">
        <v>131</v>
      </c>
      <c r="O13" s="4" t="s">
        <v>32</v>
      </c>
      <c r="P13" s="4" t="s">
        <v>33</v>
      </c>
      <c r="Q13" s="4" t="s">
        <v>34</v>
      </c>
      <c r="R13" s="4" t="s">
        <v>132</v>
      </c>
      <c r="S13" s="4" t="s">
        <v>133</v>
      </c>
      <c r="T13" s="4" t="s">
        <v>37</v>
      </c>
      <c r="U13" s="4" t="s">
        <v>134</v>
      </c>
      <c r="V13" s="4" t="s">
        <v>39</v>
      </c>
      <c r="W13" s="4" t="s">
        <v>40</v>
      </c>
      <c r="X13" s="4" t="s">
        <v>134</v>
      </c>
      <c r="Y13" s="4" t="s">
        <v>41</v>
      </c>
      <c r="Z13" s="4" t="s">
        <v>135</v>
      </c>
      <c r="AA13" s="4" t="s">
        <v>136</v>
      </c>
      <c r="AB13" s="7" t="e">
        <f t="shared" ca="1" si="1"/>
        <v>#NAME?</v>
      </c>
    </row>
    <row r="14" spans="1:28" ht="33.6" customHeight="1">
      <c r="A14" s="5">
        <v>13</v>
      </c>
      <c r="B14" s="5">
        <v>39</v>
      </c>
      <c r="C14" s="5">
        <v>13</v>
      </c>
      <c r="D14" s="5">
        <v>11</v>
      </c>
      <c r="E14" s="5">
        <v>47</v>
      </c>
      <c r="F14" s="6">
        <f t="shared" si="0"/>
        <v>3.95</v>
      </c>
      <c r="G14" s="5">
        <v>4</v>
      </c>
      <c r="H14" s="5">
        <v>5</v>
      </c>
      <c r="I14" s="5">
        <v>2</v>
      </c>
      <c r="J14" s="5">
        <v>4</v>
      </c>
      <c r="K14" s="4" t="s">
        <v>28</v>
      </c>
      <c r="L14" s="4" t="s">
        <v>137</v>
      </c>
      <c r="M14" s="4" t="s">
        <v>138</v>
      </c>
      <c r="N14" s="4" t="s">
        <v>139</v>
      </c>
      <c r="O14" s="4" t="s">
        <v>32</v>
      </c>
      <c r="P14" s="4" t="s">
        <v>33</v>
      </c>
      <c r="Q14" s="4" t="s">
        <v>34</v>
      </c>
      <c r="R14" s="4" t="s">
        <v>140</v>
      </c>
      <c r="S14" s="4" t="s">
        <v>141</v>
      </c>
      <c r="T14" s="4" t="s">
        <v>37</v>
      </c>
      <c r="U14" s="4" t="s">
        <v>142</v>
      </c>
      <c r="V14" s="4" t="s">
        <v>39</v>
      </c>
      <c r="W14" s="4" t="s">
        <v>40</v>
      </c>
      <c r="X14" s="4" t="s">
        <v>142</v>
      </c>
      <c r="Y14" s="4" t="s">
        <v>41</v>
      </c>
      <c r="Z14" s="4" t="s">
        <v>143</v>
      </c>
      <c r="AA14" s="4" t="s">
        <v>144</v>
      </c>
      <c r="AB14" s="7" t="e">
        <f t="shared" ca="1" si="1"/>
        <v>#NAME?</v>
      </c>
    </row>
    <row r="15" spans="1:28" ht="33.6" customHeight="1">
      <c r="A15" s="5">
        <v>14</v>
      </c>
      <c r="B15" s="5">
        <v>40</v>
      </c>
      <c r="C15" s="5">
        <v>14</v>
      </c>
      <c r="D15" s="5">
        <v>12</v>
      </c>
      <c r="E15" s="5">
        <v>48</v>
      </c>
      <c r="F15" s="6">
        <f t="shared" si="0"/>
        <v>3.95</v>
      </c>
      <c r="G15" s="5">
        <v>4</v>
      </c>
      <c r="H15" s="5">
        <v>5</v>
      </c>
      <c r="I15" s="5">
        <v>2</v>
      </c>
      <c r="J15" s="5">
        <v>4</v>
      </c>
      <c r="K15" s="4" t="s">
        <v>28</v>
      </c>
      <c r="L15" s="4" t="s">
        <v>145</v>
      </c>
      <c r="M15" s="4" t="s">
        <v>146</v>
      </c>
      <c r="N15" s="4" t="s">
        <v>147</v>
      </c>
      <c r="O15" s="4" t="s">
        <v>32</v>
      </c>
      <c r="P15" s="4" t="s">
        <v>33</v>
      </c>
      <c r="Q15" s="4" t="s">
        <v>34</v>
      </c>
      <c r="R15" s="4" t="s">
        <v>148</v>
      </c>
      <c r="S15" s="4" t="s">
        <v>149</v>
      </c>
      <c r="T15" s="4" t="s">
        <v>37</v>
      </c>
      <c r="U15" s="4" t="s">
        <v>150</v>
      </c>
      <c r="V15" s="4" t="s">
        <v>39</v>
      </c>
      <c r="W15" s="4" t="s">
        <v>40</v>
      </c>
      <c r="X15" s="4" t="s">
        <v>150</v>
      </c>
      <c r="Y15" s="4" t="s">
        <v>41</v>
      </c>
      <c r="Z15" s="4" t="s">
        <v>151</v>
      </c>
      <c r="AA15" s="4" t="s">
        <v>152</v>
      </c>
      <c r="AB15" s="7" t="e">
        <f t="shared" ca="1" si="1"/>
        <v>#NAME?</v>
      </c>
    </row>
    <row r="16" spans="1:28" ht="33.6" customHeight="1">
      <c r="A16" s="5">
        <v>15</v>
      </c>
      <c r="B16" s="5">
        <v>41</v>
      </c>
      <c r="C16" s="5">
        <v>15</v>
      </c>
      <c r="D16" s="5">
        <v>13</v>
      </c>
      <c r="E16" s="5">
        <v>49</v>
      </c>
      <c r="F16" s="6">
        <f t="shared" si="0"/>
        <v>3.95</v>
      </c>
      <c r="G16" s="5">
        <v>4</v>
      </c>
      <c r="H16" s="5">
        <v>5</v>
      </c>
      <c r="I16" s="5">
        <v>2</v>
      </c>
      <c r="J16" s="5">
        <v>4</v>
      </c>
      <c r="K16" s="4" t="s">
        <v>28</v>
      </c>
      <c r="L16" s="4" t="s">
        <v>153</v>
      </c>
      <c r="M16" s="4" t="s">
        <v>154</v>
      </c>
      <c r="N16" s="4" t="s">
        <v>155</v>
      </c>
      <c r="O16" s="4" t="s">
        <v>32</v>
      </c>
      <c r="P16" s="4" t="s">
        <v>33</v>
      </c>
      <c r="Q16" s="4" t="s">
        <v>34</v>
      </c>
      <c r="R16" s="4" t="s">
        <v>156</v>
      </c>
      <c r="S16" s="4" t="s">
        <v>157</v>
      </c>
      <c r="T16" s="4" t="s">
        <v>37</v>
      </c>
      <c r="U16" s="4" t="s">
        <v>158</v>
      </c>
      <c r="V16" s="4" t="s">
        <v>39</v>
      </c>
      <c r="W16" s="4" t="s">
        <v>40</v>
      </c>
      <c r="X16" s="4" t="s">
        <v>158</v>
      </c>
      <c r="Y16" s="4" t="s">
        <v>41</v>
      </c>
      <c r="Z16" s="4" t="s">
        <v>159</v>
      </c>
      <c r="AA16" s="4" t="s">
        <v>160</v>
      </c>
      <c r="AB16" s="7" t="e">
        <f t="shared" ca="1" si="1"/>
        <v>#NAME?</v>
      </c>
    </row>
    <row r="17" spans="1:28" ht="33.6" customHeight="1">
      <c r="A17" s="5">
        <v>16</v>
      </c>
      <c r="B17" s="5">
        <v>42</v>
      </c>
      <c r="C17" s="5">
        <v>16</v>
      </c>
      <c r="D17" s="5">
        <v>1</v>
      </c>
      <c r="E17" s="5">
        <v>12</v>
      </c>
      <c r="F17" s="6">
        <f t="shared" si="0"/>
        <v>3.9</v>
      </c>
      <c r="G17" s="5">
        <v>4</v>
      </c>
      <c r="H17" s="5">
        <v>4</v>
      </c>
      <c r="I17" s="5">
        <v>3</v>
      </c>
      <c r="J17" s="5">
        <v>5</v>
      </c>
      <c r="K17" s="4" t="s">
        <v>28</v>
      </c>
      <c r="L17" s="4" t="s">
        <v>161</v>
      </c>
      <c r="M17" s="4" t="s">
        <v>162</v>
      </c>
      <c r="N17" s="4" t="s">
        <v>163</v>
      </c>
      <c r="O17" s="4" t="s">
        <v>32</v>
      </c>
      <c r="P17" s="4" t="s">
        <v>164</v>
      </c>
      <c r="Q17" s="4" t="s">
        <v>34</v>
      </c>
      <c r="R17" s="4" t="s">
        <v>165</v>
      </c>
      <c r="S17" s="4" t="s">
        <v>166</v>
      </c>
      <c r="T17" s="4" t="s">
        <v>167</v>
      </c>
      <c r="U17" s="4" t="s">
        <v>168</v>
      </c>
      <c r="V17" s="4" t="s">
        <v>39</v>
      </c>
      <c r="W17" s="4" t="s">
        <v>40</v>
      </c>
      <c r="X17" s="4" t="s">
        <v>168</v>
      </c>
      <c r="Y17" s="4" t="s">
        <v>41</v>
      </c>
      <c r="Z17" s="4" t="s">
        <v>169</v>
      </c>
      <c r="AA17" s="4" t="s">
        <v>170</v>
      </c>
      <c r="AB17" s="7" t="e">
        <f t="shared" ca="1" si="1"/>
        <v>#NAME?</v>
      </c>
    </row>
    <row r="18" spans="1:28" ht="33.6" customHeight="1">
      <c r="A18" s="5">
        <v>17</v>
      </c>
      <c r="B18" s="5">
        <v>43</v>
      </c>
      <c r="C18" s="5">
        <v>17</v>
      </c>
      <c r="D18" s="5">
        <v>2</v>
      </c>
      <c r="E18" s="5">
        <v>13</v>
      </c>
      <c r="F18" s="6">
        <f t="shared" si="0"/>
        <v>3.9</v>
      </c>
      <c r="G18" s="5">
        <v>4</v>
      </c>
      <c r="H18" s="5">
        <v>4</v>
      </c>
      <c r="I18" s="5">
        <v>3</v>
      </c>
      <c r="J18" s="5">
        <v>5</v>
      </c>
      <c r="K18" s="4" t="s">
        <v>28</v>
      </c>
      <c r="L18" s="4" t="s">
        <v>171</v>
      </c>
      <c r="M18" s="4" t="s">
        <v>172</v>
      </c>
      <c r="N18" s="4" t="s">
        <v>173</v>
      </c>
      <c r="O18" s="4" t="s">
        <v>32</v>
      </c>
      <c r="P18" s="4" t="s">
        <v>33</v>
      </c>
      <c r="Q18" s="4" t="s">
        <v>34</v>
      </c>
      <c r="R18" s="4" t="s">
        <v>174</v>
      </c>
      <c r="S18" s="4" t="s">
        <v>175</v>
      </c>
      <c r="T18" s="4" t="s">
        <v>167</v>
      </c>
      <c r="U18" s="4" t="s">
        <v>176</v>
      </c>
      <c r="V18" s="4" t="s">
        <v>39</v>
      </c>
      <c r="W18" s="4" t="s">
        <v>40</v>
      </c>
      <c r="X18" s="4" t="s">
        <v>176</v>
      </c>
      <c r="Y18" s="4" t="s">
        <v>41</v>
      </c>
      <c r="Z18" s="4" t="s">
        <v>177</v>
      </c>
      <c r="AA18" s="4" t="s">
        <v>178</v>
      </c>
      <c r="AB18" s="7" t="e">
        <f t="shared" ca="1" si="1"/>
        <v>#NAME?</v>
      </c>
    </row>
    <row r="19" spans="1:28" ht="33.6" customHeight="1">
      <c r="A19" s="5">
        <v>18</v>
      </c>
      <c r="B19" s="5">
        <v>9</v>
      </c>
      <c r="C19" s="5">
        <v>18</v>
      </c>
      <c r="D19" s="5">
        <v>19</v>
      </c>
      <c r="E19" s="5">
        <v>14</v>
      </c>
      <c r="F19" s="6">
        <f t="shared" si="0"/>
        <v>3.85</v>
      </c>
      <c r="G19" s="5">
        <v>5</v>
      </c>
      <c r="H19" s="5">
        <v>4</v>
      </c>
      <c r="I19" s="5">
        <v>1</v>
      </c>
      <c r="J19" s="5">
        <v>5</v>
      </c>
      <c r="K19" s="4" t="s">
        <v>28</v>
      </c>
      <c r="L19" s="4" t="s">
        <v>179</v>
      </c>
      <c r="M19" s="4" t="s">
        <v>180</v>
      </c>
      <c r="N19" s="4" t="s">
        <v>181</v>
      </c>
      <c r="O19" s="4" t="s">
        <v>32</v>
      </c>
      <c r="P19" s="4" t="s">
        <v>182</v>
      </c>
      <c r="Q19" s="4" t="s">
        <v>34</v>
      </c>
      <c r="R19" s="4" t="s">
        <v>183</v>
      </c>
      <c r="S19" s="4" t="s">
        <v>184</v>
      </c>
      <c r="T19" s="4" t="s">
        <v>167</v>
      </c>
      <c r="U19" s="4" t="s">
        <v>185</v>
      </c>
      <c r="V19" s="4" t="s">
        <v>39</v>
      </c>
      <c r="W19" s="4" t="s">
        <v>40</v>
      </c>
      <c r="X19" s="4" t="s">
        <v>185</v>
      </c>
      <c r="Y19" s="4" t="s">
        <v>41</v>
      </c>
      <c r="Z19" s="4" t="s">
        <v>186</v>
      </c>
      <c r="AA19" s="4" t="s">
        <v>187</v>
      </c>
      <c r="AB19" s="7" t="e">
        <f t="shared" ca="1" si="1"/>
        <v>#NAME?</v>
      </c>
    </row>
    <row r="20" spans="1:28" ht="33.6" customHeight="1">
      <c r="A20" s="5">
        <v>19</v>
      </c>
      <c r="B20" s="5">
        <v>10</v>
      </c>
      <c r="C20" s="5">
        <v>19</v>
      </c>
      <c r="D20" s="5">
        <v>20</v>
      </c>
      <c r="E20" s="5">
        <v>15</v>
      </c>
      <c r="F20" s="6">
        <f t="shared" si="0"/>
        <v>3.85</v>
      </c>
      <c r="G20" s="5">
        <v>5</v>
      </c>
      <c r="H20" s="5">
        <v>4</v>
      </c>
      <c r="I20" s="5">
        <v>1</v>
      </c>
      <c r="J20" s="5">
        <v>5</v>
      </c>
      <c r="K20" s="4" t="s">
        <v>28</v>
      </c>
      <c r="L20" s="4" t="s">
        <v>188</v>
      </c>
      <c r="M20" s="4" t="s">
        <v>189</v>
      </c>
      <c r="N20" s="4" t="s">
        <v>190</v>
      </c>
      <c r="O20" s="4" t="s">
        <v>32</v>
      </c>
      <c r="P20" s="4" t="s">
        <v>33</v>
      </c>
      <c r="Q20" s="4" t="s">
        <v>34</v>
      </c>
      <c r="R20" s="4" t="s">
        <v>191</v>
      </c>
      <c r="S20" s="4" t="s">
        <v>192</v>
      </c>
      <c r="T20" s="4" t="s">
        <v>167</v>
      </c>
      <c r="U20" s="4" t="s">
        <v>193</v>
      </c>
      <c r="V20" s="4" t="s">
        <v>39</v>
      </c>
      <c r="W20" s="4" t="s">
        <v>40</v>
      </c>
      <c r="X20" s="4" t="s">
        <v>193</v>
      </c>
      <c r="Y20" s="4" t="s">
        <v>41</v>
      </c>
      <c r="Z20" s="4" t="s">
        <v>194</v>
      </c>
      <c r="AA20" s="4" t="s">
        <v>195</v>
      </c>
      <c r="AB20" s="7" t="e">
        <f t="shared" ca="1" si="1"/>
        <v>#NAME?</v>
      </c>
    </row>
    <row r="21" spans="1:28" ht="33.6" customHeight="1">
      <c r="A21" s="5">
        <v>20</v>
      </c>
      <c r="B21" s="5">
        <v>11</v>
      </c>
      <c r="C21" s="5">
        <v>20</v>
      </c>
      <c r="D21" s="5">
        <v>21</v>
      </c>
      <c r="E21" s="5">
        <v>16</v>
      </c>
      <c r="F21" s="6">
        <f t="shared" si="0"/>
        <v>3.85</v>
      </c>
      <c r="G21" s="5">
        <v>5</v>
      </c>
      <c r="H21" s="5">
        <v>4</v>
      </c>
      <c r="I21" s="5">
        <v>1</v>
      </c>
      <c r="J21" s="5">
        <v>5</v>
      </c>
      <c r="K21" s="4" t="s">
        <v>43</v>
      </c>
      <c r="L21" s="4" t="s">
        <v>196</v>
      </c>
      <c r="M21" s="4" t="s">
        <v>197</v>
      </c>
      <c r="N21" s="4" t="s">
        <v>198</v>
      </c>
      <c r="O21" s="4" t="s">
        <v>32</v>
      </c>
      <c r="P21" s="4" t="s">
        <v>199</v>
      </c>
      <c r="Q21" s="4" t="s">
        <v>34</v>
      </c>
      <c r="R21" s="4" t="s">
        <v>200</v>
      </c>
      <c r="S21" s="4" t="s">
        <v>201</v>
      </c>
      <c r="T21" s="4" t="s">
        <v>167</v>
      </c>
      <c r="U21" s="4" t="s">
        <v>202</v>
      </c>
      <c r="V21" s="4" t="s">
        <v>39</v>
      </c>
      <c r="W21" s="4" t="s">
        <v>40</v>
      </c>
      <c r="X21" s="4" t="s">
        <v>202</v>
      </c>
      <c r="Y21" s="4" t="s">
        <v>41</v>
      </c>
      <c r="Z21" s="4" t="s">
        <v>203</v>
      </c>
      <c r="AA21" s="4" t="s">
        <v>204</v>
      </c>
      <c r="AB21" s="7" t="e">
        <f t="shared" ca="1" si="1"/>
        <v>#NAME?</v>
      </c>
    </row>
    <row r="22" spans="1:28" ht="33.6" customHeight="1">
      <c r="A22" s="5">
        <v>21</v>
      </c>
      <c r="B22" s="5">
        <v>12</v>
      </c>
      <c r="C22" s="5">
        <v>21</v>
      </c>
      <c r="D22" s="5">
        <v>22</v>
      </c>
      <c r="E22" s="5">
        <v>17</v>
      </c>
      <c r="F22" s="6">
        <f t="shared" si="0"/>
        <v>3.85</v>
      </c>
      <c r="G22" s="5">
        <v>5</v>
      </c>
      <c r="H22" s="5">
        <v>4</v>
      </c>
      <c r="I22" s="5">
        <v>1</v>
      </c>
      <c r="J22" s="5">
        <v>5</v>
      </c>
      <c r="K22" s="4" t="s">
        <v>28</v>
      </c>
      <c r="L22" s="4" t="s">
        <v>205</v>
      </c>
      <c r="M22" s="4" t="s">
        <v>206</v>
      </c>
      <c r="N22" s="4" t="s">
        <v>207</v>
      </c>
      <c r="O22" s="4" t="s">
        <v>32</v>
      </c>
      <c r="P22" s="4" t="s">
        <v>33</v>
      </c>
      <c r="Q22" s="4" t="s">
        <v>34</v>
      </c>
      <c r="R22" s="4" t="s">
        <v>208</v>
      </c>
      <c r="S22" s="4" t="s">
        <v>209</v>
      </c>
      <c r="T22" s="4" t="s">
        <v>167</v>
      </c>
      <c r="U22" s="4" t="s">
        <v>210</v>
      </c>
      <c r="V22" s="4" t="s">
        <v>39</v>
      </c>
      <c r="W22" s="4" t="s">
        <v>40</v>
      </c>
      <c r="X22" s="4" t="s">
        <v>210</v>
      </c>
      <c r="Y22" s="4" t="s">
        <v>41</v>
      </c>
      <c r="Z22" s="4" t="s">
        <v>211</v>
      </c>
      <c r="AA22" s="4" t="s">
        <v>204</v>
      </c>
      <c r="AB22" s="7" t="e">
        <f t="shared" ca="1" si="1"/>
        <v>#NAME?</v>
      </c>
    </row>
    <row r="23" spans="1:28" ht="33.6" customHeight="1">
      <c r="A23" s="5">
        <v>22</v>
      </c>
      <c r="B23" s="5">
        <v>13</v>
      </c>
      <c r="C23" s="5">
        <v>22</v>
      </c>
      <c r="D23" s="5">
        <v>23</v>
      </c>
      <c r="E23" s="5">
        <v>18</v>
      </c>
      <c r="F23" s="6">
        <f t="shared" si="0"/>
        <v>3.85</v>
      </c>
      <c r="G23" s="5">
        <v>5</v>
      </c>
      <c r="H23" s="5">
        <v>4</v>
      </c>
      <c r="I23" s="5">
        <v>1</v>
      </c>
      <c r="J23" s="5">
        <v>5</v>
      </c>
      <c r="K23" s="4" t="s">
        <v>78</v>
      </c>
      <c r="L23" s="4" t="s">
        <v>212</v>
      </c>
      <c r="M23" s="4" t="s">
        <v>213</v>
      </c>
      <c r="N23" s="4" t="s">
        <v>214</v>
      </c>
      <c r="O23" s="4" t="s">
        <v>32</v>
      </c>
      <c r="P23" s="4" t="s">
        <v>215</v>
      </c>
      <c r="Q23" s="4" t="s">
        <v>34</v>
      </c>
      <c r="R23" s="4" t="s">
        <v>216</v>
      </c>
      <c r="S23" s="4" t="s">
        <v>217</v>
      </c>
      <c r="T23" s="4" t="s">
        <v>167</v>
      </c>
      <c r="U23" s="4" t="s">
        <v>218</v>
      </c>
      <c r="V23" s="4" t="s">
        <v>39</v>
      </c>
      <c r="W23" s="4" t="s">
        <v>40</v>
      </c>
      <c r="X23" s="4" t="s">
        <v>218</v>
      </c>
      <c r="Y23" s="4" t="s">
        <v>41</v>
      </c>
      <c r="Z23" s="4" t="s">
        <v>219</v>
      </c>
      <c r="AA23" s="4" t="s">
        <v>87</v>
      </c>
      <c r="AB23" s="7" t="e">
        <f t="shared" ca="1" si="1"/>
        <v>#NAME?</v>
      </c>
    </row>
    <row r="24" spans="1:28" ht="33.6" customHeight="1">
      <c r="A24" s="5">
        <v>23</v>
      </c>
      <c r="B24" s="5">
        <v>14</v>
      </c>
      <c r="C24" s="5">
        <v>23</v>
      </c>
      <c r="D24" s="5">
        <v>24</v>
      </c>
      <c r="E24" s="5">
        <v>19</v>
      </c>
      <c r="F24" s="6">
        <f t="shared" si="0"/>
        <v>3.85</v>
      </c>
      <c r="G24" s="5">
        <v>5</v>
      </c>
      <c r="H24" s="5">
        <v>4</v>
      </c>
      <c r="I24" s="5">
        <v>1</v>
      </c>
      <c r="J24" s="5">
        <v>5</v>
      </c>
      <c r="K24" s="4" t="s">
        <v>78</v>
      </c>
      <c r="L24" s="4" t="s">
        <v>220</v>
      </c>
      <c r="M24" s="4" t="s">
        <v>221</v>
      </c>
      <c r="N24" s="4" t="s">
        <v>222</v>
      </c>
      <c r="O24" s="4" t="s">
        <v>32</v>
      </c>
      <c r="P24" s="4" t="s">
        <v>223</v>
      </c>
      <c r="Q24" s="4" t="s">
        <v>34</v>
      </c>
      <c r="R24" s="4" t="s">
        <v>224</v>
      </c>
      <c r="S24" s="4" t="s">
        <v>225</v>
      </c>
      <c r="T24" s="4" t="s">
        <v>167</v>
      </c>
      <c r="U24" s="4" t="s">
        <v>226</v>
      </c>
      <c r="V24" s="4" t="s">
        <v>39</v>
      </c>
      <c r="W24" s="4" t="s">
        <v>40</v>
      </c>
      <c r="X24" s="4" t="s">
        <v>226</v>
      </c>
      <c r="Y24" s="4" t="s">
        <v>41</v>
      </c>
      <c r="Z24" s="4" t="s">
        <v>227</v>
      </c>
      <c r="AA24" s="4" t="s">
        <v>87</v>
      </c>
      <c r="AB24" s="7" t="e">
        <f t="shared" ca="1" si="1"/>
        <v>#NAME?</v>
      </c>
    </row>
    <row r="25" spans="1:28" ht="33.6" customHeight="1">
      <c r="A25" s="5">
        <v>24</v>
      </c>
      <c r="B25" s="5">
        <v>15</v>
      </c>
      <c r="C25" s="5">
        <v>24</v>
      </c>
      <c r="D25" s="5">
        <v>25</v>
      </c>
      <c r="E25" s="5">
        <v>20</v>
      </c>
      <c r="F25" s="6">
        <f t="shared" si="0"/>
        <v>3.85</v>
      </c>
      <c r="G25" s="5">
        <v>5</v>
      </c>
      <c r="H25" s="5">
        <v>4</v>
      </c>
      <c r="I25" s="5">
        <v>1</v>
      </c>
      <c r="J25" s="5">
        <v>5</v>
      </c>
      <c r="K25" s="4" t="s">
        <v>43</v>
      </c>
      <c r="L25" s="4" t="s">
        <v>228</v>
      </c>
      <c r="M25" s="4" t="s">
        <v>229</v>
      </c>
      <c r="N25" s="4" t="s">
        <v>230</v>
      </c>
      <c r="O25" s="4" t="s">
        <v>32</v>
      </c>
      <c r="P25" s="4" t="s">
        <v>231</v>
      </c>
      <c r="Q25" s="4" t="s">
        <v>34</v>
      </c>
      <c r="R25" s="4" t="s">
        <v>232</v>
      </c>
      <c r="S25" s="4" t="s">
        <v>233</v>
      </c>
      <c r="T25" s="4" t="s">
        <v>167</v>
      </c>
      <c r="U25" s="4" t="s">
        <v>234</v>
      </c>
      <c r="V25" s="4" t="s">
        <v>39</v>
      </c>
      <c r="W25" s="4" t="s">
        <v>40</v>
      </c>
      <c r="X25" s="4" t="s">
        <v>234</v>
      </c>
      <c r="Y25" s="4" t="s">
        <v>41</v>
      </c>
      <c r="Z25" s="4" t="s">
        <v>235</v>
      </c>
      <c r="AA25" s="4" t="s">
        <v>236</v>
      </c>
      <c r="AB25" s="7" t="e">
        <f t="shared" ca="1" si="1"/>
        <v>#NAME?</v>
      </c>
    </row>
    <row r="26" spans="1:28" ht="33.6" customHeight="1">
      <c r="A26" s="5">
        <v>25</v>
      </c>
      <c r="B26" s="5">
        <v>16</v>
      </c>
      <c r="C26" s="5">
        <v>25</v>
      </c>
      <c r="D26" s="5">
        <v>26</v>
      </c>
      <c r="E26" s="5">
        <v>21</v>
      </c>
      <c r="F26" s="6">
        <f t="shared" si="0"/>
        <v>3.85</v>
      </c>
      <c r="G26" s="5">
        <v>5</v>
      </c>
      <c r="H26" s="5">
        <v>4</v>
      </c>
      <c r="I26" s="5">
        <v>1</v>
      </c>
      <c r="J26" s="5">
        <v>5</v>
      </c>
      <c r="K26" s="4" t="s">
        <v>237</v>
      </c>
      <c r="L26" s="4" t="s">
        <v>238</v>
      </c>
      <c r="M26" s="4" t="s">
        <v>239</v>
      </c>
      <c r="N26" s="4" t="s">
        <v>240</v>
      </c>
      <c r="O26" s="4" t="s">
        <v>32</v>
      </c>
      <c r="P26" s="4" t="s">
        <v>241</v>
      </c>
      <c r="Q26" s="4" t="s">
        <v>34</v>
      </c>
      <c r="R26" s="4" t="s">
        <v>242</v>
      </c>
      <c r="S26" s="4" t="s">
        <v>243</v>
      </c>
      <c r="T26" s="4" t="s">
        <v>167</v>
      </c>
      <c r="U26" s="4" t="s">
        <v>244</v>
      </c>
      <c r="V26" s="4" t="s">
        <v>39</v>
      </c>
      <c r="W26" s="4" t="s">
        <v>40</v>
      </c>
      <c r="X26" s="4" t="s">
        <v>244</v>
      </c>
      <c r="Y26" s="4" t="s">
        <v>41</v>
      </c>
      <c r="Z26" s="4" t="s">
        <v>245</v>
      </c>
      <c r="AA26" s="4" t="s">
        <v>246</v>
      </c>
      <c r="AB26" s="7" t="e">
        <f t="shared" ca="1" si="1"/>
        <v>#NAME?</v>
      </c>
    </row>
    <row r="27" spans="1:28" ht="33.6" customHeight="1">
      <c r="A27" s="5">
        <v>26</v>
      </c>
      <c r="B27" s="5">
        <v>17</v>
      </c>
      <c r="C27" s="5">
        <v>26</v>
      </c>
      <c r="D27" s="5">
        <v>27</v>
      </c>
      <c r="E27" s="5">
        <v>22</v>
      </c>
      <c r="F27" s="6">
        <f t="shared" si="0"/>
        <v>3.85</v>
      </c>
      <c r="G27" s="5">
        <v>5</v>
      </c>
      <c r="H27" s="5">
        <v>4</v>
      </c>
      <c r="I27" s="5">
        <v>1</v>
      </c>
      <c r="J27" s="5">
        <v>5</v>
      </c>
      <c r="K27" s="4" t="s">
        <v>43</v>
      </c>
      <c r="L27" s="4" t="s">
        <v>247</v>
      </c>
      <c r="M27" s="4" t="s">
        <v>248</v>
      </c>
      <c r="N27" s="4" t="s">
        <v>249</v>
      </c>
      <c r="O27" s="4" t="s">
        <v>32</v>
      </c>
      <c r="P27" s="4" t="s">
        <v>250</v>
      </c>
      <c r="Q27" s="4" t="s">
        <v>34</v>
      </c>
      <c r="R27" s="4" t="s">
        <v>251</v>
      </c>
      <c r="S27" s="4" t="s">
        <v>252</v>
      </c>
      <c r="T27" s="4" t="s">
        <v>167</v>
      </c>
      <c r="U27" s="4" t="s">
        <v>253</v>
      </c>
      <c r="V27" s="4" t="s">
        <v>39</v>
      </c>
      <c r="W27" s="4" t="s">
        <v>40</v>
      </c>
      <c r="X27" s="4" t="s">
        <v>253</v>
      </c>
      <c r="Y27" s="4" t="s">
        <v>41</v>
      </c>
      <c r="Z27" s="4" t="s">
        <v>254</v>
      </c>
      <c r="AA27" s="4" t="s">
        <v>255</v>
      </c>
      <c r="AB27" s="7" t="e">
        <f t="shared" ca="1" si="1"/>
        <v>#NAME?</v>
      </c>
    </row>
    <row r="28" spans="1:28" ht="33.6" customHeight="1">
      <c r="A28" s="5">
        <v>27</v>
      </c>
      <c r="B28" s="5">
        <v>18</v>
      </c>
      <c r="C28" s="5">
        <v>27</v>
      </c>
      <c r="D28" s="5">
        <v>28</v>
      </c>
      <c r="E28" s="5">
        <v>23</v>
      </c>
      <c r="F28" s="6">
        <f t="shared" si="0"/>
        <v>3.85</v>
      </c>
      <c r="G28" s="5">
        <v>5</v>
      </c>
      <c r="H28" s="5">
        <v>4</v>
      </c>
      <c r="I28" s="5">
        <v>1</v>
      </c>
      <c r="J28" s="5">
        <v>5</v>
      </c>
      <c r="K28" s="4" t="s">
        <v>237</v>
      </c>
      <c r="L28" s="4" t="s">
        <v>256</v>
      </c>
      <c r="M28" s="4" t="s">
        <v>257</v>
      </c>
      <c r="N28" s="4" t="s">
        <v>258</v>
      </c>
      <c r="O28" s="4" t="s">
        <v>32</v>
      </c>
      <c r="P28" s="4" t="s">
        <v>259</v>
      </c>
      <c r="Q28" s="4" t="s">
        <v>34</v>
      </c>
      <c r="R28" s="4" t="s">
        <v>260</v>
      </c>
      <c r="S28" s="4" t="s">
        <v>261</v>
      </c>
      <c r="T28" s="4" t="s">
        <v>167</v>
      </c>
      <c r="U28" s="4" t="s">
        <v>262</v>
      </c>
      <c r="V28" s="4" t="s">
        <v>39</v>
      </c>
      <c r="W28" s="4" t="s">
        <v>40</v>
      </c>
      <c r="X28" s="4" t="s">
        <v>262</v>
      </c>
      <c r="Y28" s="4" t="s">
        <v>41</v>
      </c>
      <c r="Z28" s="4" t="s">
        <v>263</v>
      </c>
      <c r="AA28" s="4" t="s">
        <v>264</v>
      </c>
      <c r="AB28" s="7" t="e">
        <f t="shared" ca="1" si="1"/>
        <v>#NAME?</v>
      </c>
    </row>
    <row r="29" spans="1:28" ht="33.6" customHeight="1">
      <c r="A29" s="5">
        <v>28</v>
      </c>
      <c r="B29" s="5">
        <v>19</v>
      </c>
      <c r="C29" s="5">
        <v>28</v>
      </c>
      <c r="D29" s="5">
        <v>29</v>
      </c>
      <c r="E29" s="5">
        <v>24</v>
      </c>
      <c r="F29" s="6">
        <f t="shared" si="0"/>
        <v>3.85</v>
      </c>
      <c r="G29" s="5">
        <v>5</v>
      </c>
      <c r="H29" s="5">
        <v>4</v>
      </c>
      <c r="I29" s="5">
        <v>1</v>
      </c>
      <c r="J29" s="5">
        <v>5</v>
      </c>
      <c r="K29" s="4" t="s">
        <v>28</v>
      </c>
      <c r="L29" s="4" t="s">
        <v>265</v>
      </c>
      <c r="M29" s="4" t="s">
        <v>266</v>
      </c>
      <c r="N29" s="4" t="s">
        <v>267</v>
      </c>
      <c r="O29" s="4" t="s">
        <v>32</v>
      </c>
      <c r="P29" s="4" t="s">
        <v>33</v>
      </c>
      <c r="Q29" s="4" t="s">
        <v>34</v>
      </c>
      <c r="R29" s="4" t="s">
        <v>268</v>
      </c>
      <c r="S29" s="4" t="s">
        <v>269</v>
      </c>
      <c r="T29" s="4" t="s">
        <v>167</v>
      </c>
      <c r="U29" s="4" t="s">
        <v>270</v>
      </c>
      <c r="V29" s="4" t="s">
        <v>39</v>
      </c>
      <c r="W29" s="4" t="s">
        <v>40</v>
      </c>
      <c r="X29" s="4" t="s">
        <v>270</v>
      </c>
      <c r="Y29" s="4" t="s">
        <v>41</v>
      </c>
      <c r="Z29" s="4" t="s">
        <v>271</v>
      </c>
      <c r="AA29" s="4" t="s">
        <v>272</v>
      </c>
      <c r="AB29" s="7" t="e">
        <f t="shared" ca="1" si="1"/>
        <v>#NAME?</v>
      </c>
    </row>
    <row r="30" spans="1:28" ht="33.6" customHeight="1">
      <c r="A30" s="5">
        <v>29</v>
      </c>
      <c r="B30" s="5">
        <v>20</v>
      </c>
      <c r="C30" s="5">
        <v>29</v>
      </c>
      <c r="D30" s="5">
        <v>30</v>
      </c>
      <c r="E30" s="5">
        <v>25</v>
      </c>
      <c r="F30" s="6">
        <f t="shared" si="0"/>
        <v>3.85</v>
      </c>
      <c r="G30" s="5">
        <v>5</v>
      </c>
      <c r="H30" s="5">
        <v>4</v>
      </c>
      <c r="I30" s="5">
        <v>1</v>
      </c>
      <c r="J30" s="5">
        <v>5</v>
      </c>
      <c r="K30" s="4" t="s">
        <v>28</v>
      </c>
      <c r="L30" s="4" t="s">
        <v>273</v>
      </c>
      <c r="M30" s="4" t="s">
        <v>274</v>
      </c>
      <c r="N30" s="4" t="s">
        <v>275</v>
      </c>
      <c r="O30" s="4" t="s">
        <v>32</v>
      </c>
      <c r="P30" s="4" t="s">
        <v>33</v>
      </c>
      <c r="Q30" s="4" t="s">
        <v>34</v>
      </c>
      <c r="R30" s="4" t="s">
        <v>276</v>
      </c>
      <c r="S30" s="4" t="s">
        <v>277</v>
      </c>
      <c r="T30" s="4" t="s">
        <v>167</v>
      </c>
      <c r="U30" s="4" t="s">
        <v>278</v>
      </c>
      <c r="V30" s="4" t="s">
        <v>39</v>
      </c>
      <c r="W30" s="4" t="s">
        <v>40</v>
      </c>
      <c r="X30" s="4" t="s">
        <v>278</v>
      </c>
      <c r="Y30" s="4" t="s">
        <v>41</v>
      </c>
      <c r="Z30" s="4" t="s">
        <v>279</v>
      </c>
      <c r="AA30" s="4" t="s">
        <v>280</v>
      </c>
      <c r="AB30" s="7" t="e">
        <f t="shared" ca="1" si="1"/>
        <v>#NAME?</v>
      </c>
    </row>
    <row r="31" spans="1:28" ht="33.6" customHeight="1">
      <c r="A31" s="5">
        <v>30</v>
      </c>
      <c r="B31" s="5">
        <v>21</v>
      </c>
      <c r="C31" s="5">
        <v>30</v>
      </c>
      <c r="D31" s="5">
        <v>31</v>
      </c>
      <c r="E31" s="5">
        <v>26</v>
      </c>
      <c r="F31" s="6">
        <f t="shared" si="0"/>
        <v>3.85</v>
      </c>
      <c r="G31" s="5">
        <v>5</v>
      </c>
      <c r="H31" s="5">
        <v>4</v>
      </c>
      <c r="I31" s="5">
        <v>1</v>
      </c>
      <c r="J31" s="5">
        <v>5</v>
      </c>
      <c r="K31" s="4" t="s">
        <v>28</v>
      </c>
      <c r="L31" s="4" t="s">
        <v>281</v>
      </c>
      <c r="M31" s="4" t="s">
        <v>282</v>
      </c>
      <c r="N31" s="4" t="s">
        <v>283</v>
      </c>
      <c r="O31" s="4" t="s">
        <v>32</v>
      </c>
      <c r="P31" s="4" t="s">
        <v>33</v>
      </c>
      <c r="Q31" s="4" t="s">
        <v>34</v>
      </c>
      <c r="R31" s="4" t="s">
        <v>284</v>
      </c>
      <c r="S31" s="4" t="s">
        <v>285</v>
      </c>
      <c r="T31" s="4" t="s">
        <v>167</v>
      </c>
      <c r="U31" s="4" t="s">
        <v>286</v>
      </c>
      <c r="V31" s="4" t="s">
        <v>39</v>
      </c>
      <c r="W31" s="4" t="s">
        <v>40</v>
      </c>
      <c r="X31" s="4" t="s">
        <v>286</v>
      </c>
      <c r="Y31" s="4" t="s">
        <v>41</v>
      </c>
      <c r="Z31" s="4" t="s">
        <v>287</v>
      </c>
      <c r="AA31" s="4" t="s">
        <v>288</v>
      </c>
      <c r="AB31" s="7" t="e">
        <f t="shared" ca="1" si="1"/>
        <v>#NAME?</v>
      </c>
    </row>
    <row r="32" spans="1:28" ht="33.6" customHeight="1">
      <c r="A32" s="5">
        <v>31</v>
      </c>
      <c r="B32" s="5">
        <v>22</v>
      </c>
      <c r="C32" s="5">
        <v>31</v>
      </c>
      <c r="D32" s="5">
        <v>32</v>
      </c>
      <c r="E32" s="5">
        <v>27</v>
      </c>
      <c r="F32" s="6">
        <f t="shared" si="0"/>
        <v>3.85</v>
      </c>
      <c r="G32" s="5">
        <v>5</v>
      </c>
      <c r="H32" s="5">
        <v>4</v>
      </c>
      <c r="I32" s="5">
        <v>1</v>
      </c>
      <c r="J32" s="5">
        <v>5</v>
      </c>
      <c r="K32" s="4" t="s">
        <v>28</v>
      </c>
      <c r="L32" s="4" t="s">
        <v>289</v>
      </c>
      <c r="M32" s="4" t="s">
        <v>290</v>
      </c>
      <c r="N32" s="4" t="s">
        <v>291</v>
      </c>
      <c r="O32" s="4" t="s">
        <v>32</v>
      </c>
      <c r="P32" s="4" t="s">
        <v>33</v>
      </c>
      <c r="Q32" s="4" t="s">
        <v>34</v>
      </c>
      <c r="R32" s="4" t="s">
        <v>292</v>
      </c>
      <c r="S32" s="4" t="s">
        <v>293</v>
      </c>
      <c r="T32" s="4" t="s">
        <v>167</v>
      </c>
      <c r="U32" s="4" t="s">
        <v>294</v>
      </c>
      <c r="V32" s="4" t="s">
        <v>39</v>
      </c>
      <c r="W32" s="4" t="s">
        <v>40</v>
      </c>
      <c r="X32" s="4" t="s">
        <v>294</v>
      </c>
      <c r="Y32" s="4" t="s">
        <v>41</v>
      </c>
      <c r="Z32" s="4" t="s">
        <v>295</v>
      </c>
      <c r="AA32" s="4" t="s">
        <v>296</v>
      </c>
      <c r="AB32" s="7" t="e">
        <f t="shared" ca="1" si="1"/>
        <v>#NAME?</v>
      </c>
    </row>
    <row r="33" spans="1:28" ht="33.6" customHeight="1">
      <c r="A33" s="5">
        <v>32</v>
      </c>
      <c r="B33" s="5">
        <v>23</v>
      </c>
      <c r="C33" s="5">
        <v>32</v>
      </c>
      <c r="D33" s="5">
        <v>33</v>
      </c>
      <c r="E33" s="5">
        <v>28</v>
      </c>
      <c r="F33" s="6">
        <f t="shared" si="0"/>
        <v>3.85</v>
      </c>
      <c r="G33" s="5">
        <v>5</v>
      </c>
      <c r="H33" s="5">
        <v>4</v>
      </c>
      <c r="I33" s="5">
        <v>1</v>
      </c>
      <c r="J33" s="5">
        <v>5</v>
      </c>
      <c r="K33" s="4" t="s">
        <v>43</v>
      </c>
      <c r="L33" s="4" t="s">
        <v>297</v>
      </c>
      <c r="M33" s="4" t="s">
        <v>298</v>
      </c>
      <c r="N33" s="4" t="s">
        <v>299</v>
      </c>
      <c r="O33" s="4" t="s">
        <v>32</v>
      </c>
      <c r="P33" s="4" t="s">
        <v>300</v>
      </c>
      <c r="Q33" s="4" t="s">
        <v>34</v>
      </c>
      <c r="R33" s="4" t="s">
        <v>301</v>
      </c>
      <c r="S33" s="4" t="s">
        <v>302</v>
      </c>
      <c r="T33" s="4" t="s">
        <v>167</v>
      </c>
      <c r="U33" s="4" t="s">
        <v>303</v>
      </c>
      <c r="V33" s="4" t="s">
        <v>39</v>
      </c>
      <c r="W33" s="4" t="s">
        <v>40</v>
      </c>
      <c r="X33" s="4" t="s">
        <v>303</v>
      </c>
      <c r="Y33" s="4" t="s">
        <v>41</v>
      </c>
      <c r="Z33" s="4" t="s">
        <v>304</v>
      </c>
      <c r="AA33" s="4" t="s">
        <v>305</v>
      </c>
      <c r="AB33" s="7" t="e">
        <f t="shared" ca="1" si="1"/>
        <v>#NAME?</v>
      </c>
    </row>
    <row r="34" spans="1:28" ht="33.6" customHeight="1">
      <c r="A34" s="5">
        <v>33</v>
      </c>
      <c r="B34" s="5">
        <v>24</v>
      </c>
      <c r="C34" s="5">
        <v>33</v>
      </c>
      <c r="D34" s="5">
        <v>34</v>
      </c>
      <c r="E34" s="5">
        <v>50</v>
      </c>
      <c r="F34" s="6">
        <f t="shared" ref="F34:F65" si="2">ROUND(0.35*G34+0.35*H34+0.2*I34+0.1*J34,2)</f>
        <v>3.75</v>
      </c>
      <c r="G34" s="5">
        <v>5</v>
      </c>
      <c r="H34" s="5">
        <v>4</v>
      </c>
      <c r="I34" s="5">
        <v>1</v>
      </c>
      <c r="J34" s="5">
        <v>4</v>
      </c>
      <c r="K34" s="4" t="s">
        <v>28</v>
      </c>
      <c r="L34" s="4" t="s">
        <v>306</v>
      </c>
      <c r="M34" s="4" t="s">
        <v>307</v>
      </c>
      <c r="N34" s="4" t="s">
        <v>308</v>
      </c>
      <c r="O34" s="4" t="s">
        <v>32</v>
      </c>
      <c r="P34" s="4" t="s">
        <v>33</v>
      </c>
      <c r="Q34" s="4" t="s">
        <v>34</v>
      </c>
      <c r="R34" s="4" t="s">
        <v>309</v>
      </c>
      <c r="S34" s="4" t="s">
        <v>310</v>
      </c>
      <c r="T34" s="4" t="s">
        <v>167</v>
      </c>
      <c r="U34" s="4" t="s">
        <v>311</v>
      </c>
      <c r="V34" s="4" t="s">
        <v>39</v>
      </c>
      <c r="W34" s="4" t="s">
        <v>40</v>
      </c>
      <c r="X34" s="4" t="s">
        <v>311</v>
      </c>
      <c r="Y34" s="4" t="s">
        <v>41</v>
      </c>
      <c r="Z34" s="4" t="s">
        <v>312</v>
      </c>
      <c r="AA34" s="4" t="s">
        <v>313</v>
      </c>
      <c r="AB34" s="7" t="e">
        <f t="shared" ref="AB34:AB65" ca="1" si="3">_xludf.IMAGE(AA34)</f>
        <v>#NAME?</v>
      </c>
    </row>
    <row r="35" spans="1:28" ht="33.6" customHeight="1">
      <c r="A35" s="5">
        <v>34</v>
      </c>
      <c r="B35" s="5">
        <v>25</v>
      </c>
      <c r="C35" s="5">
        <v>34</v>
      </c>
      <c r="D35" s="5">
        <v>35</v>
      </c>
      <c r="E35" s="5">
        <v>51</v>
      </c>
      <c r="F35" s="6">
        <f t="shared" si="2"/>
        <v>3.75</v>
      </c>
      <c r="G35" s="5">
        <v>5</v>
      </c>
      <c r="H35" s="5">
        <v>4</v>
      </c>
      <c r="I35" s="5">
        <v>1</v>
      </c>
      <c r="J35" s="5">
        <v>4</v>
      </c>
      <c r="K35" s="4" t="s">
        <v>28</v>
      </c>
      <c r="L35" s="4" t="s">
        <v>314</v>
      </c>
      <c r="M35" s="4" t="s">
        <v>89</v>
      </c>
      <c r="N35" s="4" t="s">
        <v>315</v>
      </c>
      <c r="O35" s="4" t="s">
        <v>32</v>
      </c>
      <c r="P35" s="4" t="s">
        <v>33</v>
      </c>
      <c r="Q35" s="4" t="s">
        <v>34</v>
      </c>
      <c r="R35" s="4" t="s">
        <v>316</v>
      </c>
      <c r="S35" s="4" t="s">
        <v>317</v>
      </c>
      <c r="T35" s="4" t="s">
        <v>167</v>
      </c>
      <c r="U35" s="4" t="s">
        <v>318</v>
      </c>
      <c r="V35" s="4" t="s">
        <v>39</v>
      </c>
      <c r="W35" s="4" t="s">
        <v>40</v>
      </c>
      <c r="X35" s="4" t="s">
        <v>318</v>
      </c>
      <c r="Y35" s="4" t="s">
        <v>41</v>
      </c>
      <c r="Z35" s="4" t="s">
        <v>319</v>
      </c>
      <c r="AA35" s="4" t="s">
        <v>320</v>
      </c>
      <c r="AB35" s="7" t="e">
        <f t="shared" ca="1" si="3"/>
        <v>#NAME?</v>
      </c>
    </row>
    <row r="36" spans="1:28" ht="33.6" customHeight="1">
      <c r="A36" s="5">
        <v>35</v>
      </c>
      <c r="B36" s="5">
        <v>44</v>
      </c>
      <c r="C36" s="5">
        <v>35</v>
      </c>
      <c r="D36" s="5">
        <v>36</v>
      </c>
      <c r="E36" s="5">
        <v>29</v>
      </c>
      <c r="F36" s="6">
        <f t="shared" si="2"/>
        <v>3.5</v>
      </c>
      <c r="G36" s="5">
        <v>4</v>
      </c>
      <c r="H36" s="5">
        <v>4</v>
      </c>
      <c r="I36" s="5">
        <v>1</v>
      </c>
      <c r="J36" s="5">
        <v>5</v>
      </c>
      <c r="K36" s="4" t="s">
        <v>28</v>
      </c>
      <c r="L36" s="4" t="s">
        <v>321</v>
      </c>
      <c r="M36" s="4" t="s">
        <v>322</v>
      </c>
      <c r="N36" s="4" t="s">
        <v>323</v>
      </c>
      <c r="O36" s="4" t="s">
        <v>32</v>
      </c>
      <c r="P36" s="4" t="s">
        <v>33</v>
      </c>
      <c r="Q36" s="4" t="s">
        <v>34</v>
      </c>
      <c r="R36" s="4" t="s">
        <v>324</v>
      </c>
      <c r="S36" s="4" t="s">
        <v>325</v>
      </c>
      <c r="T36" s="4" t="s">
        <v>167</v>
      </c>
      <c r="U36" s="4" t="s">
        <v>326</v>
      </c>
      <c r="V36" s="4" t="s">
        <v>39</v>
      </c>
      <c r="W36" s="4" t="s">
        <v>40</v>
      </c>
      <c r="X36" s="4" t="s">
        <v>326</v>
      </c>
      <c r="Y36" s="4" t="s">
        <v>41</v>
      </c>
      <c r="Z36" s="4" t="s">
        <v>327</v>
      </c>
      <c r="AA36" s="4" t="s">
        <v>328</v>
      </c>
      <c r="AB36" s="7" t="e">
        <f t="shared" ca="1" si="3"/>
        <v>#NAME?</v>
      </c>
    </row>
    <row r="37" spans="1:28" ht="33.6" customHeight="1">
      <c r="A37" s="5">
        <v>36</v>
      </c>
      <c r="B37" s="5">
        <v>45</v>
      </c>
      <c r="C37" s="5">
        <v>36</v>
      </c>
      <c r="D37" s="5">
        <v>37</v>
      </c>
      <c r="E37" s="5">
        <v>30</v>
      </c>
      <c r="F37" s="6">
        <f t="shared" si="2"/>
        <v>3.5</v>
      </c>
      <c r="G37" s="5">
        <v>4</v>
      </c>
      <c r="H37" s="5">
        <v>4</v>
      </c>
      <c r="I37" s="5">
        <v>1</v>
      </c>
      <c r="J37" s="5">
        <v>5</v>
      </c>
      <c r="K37" s="4" t="s">
        <v>28</v>
      </c>
      <c r="L37" s="4" t="s">
        <v>329</v>
      </c>
      <c r="M37" s="4" t="s">
        <v>330</v>
      </c>
      <c r="N37" s="4" t="s">
        <v>331</v>
      </c>
      <c r="O37" s="4" t="s">
        <v>32</v>
      </c>
      <c r="P37" s="4" t="s">
        <v>332</v>
      </c>
      <c r="Q37" s="4" t="s">
        <v>34</v>
      </c>
      <c r="R37" s="4" t="s">
        <v>333</v>
      </c>
      <c r="S37" s="4" t="s">
        <v>334</v>
      </c>
      <c r="T37" s="4" t="s">
        <v>167</v>
      </c>
      <c r="U37" s="4" t="s">
        <v>335</v>
      </c>
      <c r="V37" s="4" t="s">
        <v>39</v>
      </c>
      <c r="W37" s="4" t="s">
        <v>40</v>
      </c>
      <c r="X37" s="4" t="s">
        <v>335</v>
      </c>
      <c r="Y37" s="4" t="s">
        <v>41</v>
      </c>
      <c r="Z37" s="4" t="s">
        <v>336</v>
      </c>
      <c r="AA37" s="4" t="s">
        <v>337</v>
      </c>
      <c r="AB37" s="7" t="e">
        <f t="shared" ca="1" si="3"/>
        <v>#NAME?</v>
      </c>
    </row>
    <row r="38" spans="1:28" ht="33.6" customHeight="1">
      <c r="A38" s="5">
        <v>37</v>
      </c>
      <c r="B38" s="5">
        <v>46</v>
      </c>
      <c r="C38" s="5">
        <v>37</v>
      </c>
      <c r="D38" s="5">
        <v>38</v>
      </c>
      <c r="E38" s="5">
        <v>31</v>
      </c>
      <c r="F38" s="6">
        <f t="shared" si="2"/>
        <v>3.5</v>
      </c>
      <c r="G38" s="5">
        <v>4</v>
      </c>
      <c r="H38" s="5">
        <v>4</v>
      </c>
      <c r="I38" s="5">
        <v>1</v>
      </c>
      <c r="J38" s="5">
        <v>5</v>
      </c>
      <c r="K38" s="4" t="s">
        <v>43</v>
      </c>
      <c r="L38" s="4" t="s">
        <v>338</v>
      </c>
      <c r="M38" s="4" t="s">
        <v>339</v>
      </c>
      <c r="N38" s="4" t="s">
        <v>340</v>
      </c>
      <c r="O38" s="4" t="s">
        <v>32</v>
      </c>
      <c r="P38" s="4" t="s">
        <v>341</v>
      </c>
      <c r="Q38" s="4" t="s">
        <v>34</v>
      </c>
      <c r="R38" s="4" t="s">
        <v>342</v>
      </c>
      <c r="S38" s="4" t="s">
        <v>343</v>
      </c>
      <c r="T38" s="4" t="s">
        <v>167</v>
      </c>
      <c r="U38" s="4" t="s">
        <v>344</v>
      </c>
      <c r="V38" s="4" t="s">
        <v>39</v>
      </c>
      <c r="W38" s="4" t="s">
        <v>40</v>
      </c>
      <c r="X38" s="4" t="s">
        <v>344</v>
      </c>
      <c r="Y38" s="4" t="s">
        <v>41</v>
      </c>
      <c r="Z38" s="4" t="s">
        <v>345</v>
      </c>
      <c r="AA38" s="4" t="s">
        <v>346</v>
      </c>
      <c r="AB38" s="7" t="e">
        <f t="shared" ca="1" si="3"/>
        <v>#NAME?</v>
      </c>
    </row>
    <row r="39" spans="1:28" ht="33.6" customHeight="1">
      <c r="A39" s="5">
        <v>38</v>
      </c>
      <c r="B39" s="5">
        <v>47</v>
      </c>
      <c r="C39" s="5">
        <v>38</v>
      </c>
      <c r="D39" s="5">
        <v>39</v>
      </c>
      <c r="E39" s="5">
        <v>32</v>
      </c>
      <c r="F39" s="6">
        <f t="shared" si="2"/>
        <v>3.5</v>
      </c>
      <c r="G39" s="5">
        <v>4</v>
      </c>
      <c r="H39" s="5">
        <v>4</v>
      </c>
      <c r="I39" s="5">
        <v>1</v>
      </c>
      <c r="J39" s="5">
        <v>5</v>
      </c>
      <c r="K39" s="4" t="s">
        <v>43</v>
      </c>
      <c r="L39" s="4" t="s">
        <v>347</v>
      </c>
      <c r="M39" s="4" t="s">
        <v>348</v>
      </c>
      <c r="N39" s="4" t="s">
        <v>349</v>
      </c>
      <c r="O39" s="4" t="s">
        <v>32</v>
      </c>
      <c r="P39" s="4" t="s">
        <v>350</v>
      </c>
      <c r="Q39" s="4" t="s">
        <v>34</v>
      </c>
      <c r="R39" s="4" t="s">
        <v>351</v>
      </c>
      <c r="S39" s="4" t="s">
        <v>352</v>
      </c>
      <c r="T39" s="4" t="s">
        <v>167</v>
      </c>
      <c r="U39" s="4" t="s">
        <v>353</v>
      </c>
      <c r="V39" s="4" t="s">
        <v>39</v>
      </c>
      <c r="W39" s="4" t="s">
        <v>40</v>
      </c>
      <c r="X39" s="4" t="s">
        <v>353</v>
      </c>
      <c r="Y39" s="4" t="s">
        <v>41</v>
      </c>
      <c r="Z39" s="4" t="s">
        <v>354</v>
      </c>
      <c r="AA39" s="4" t="s">
        <v>355</v>
      </c>
      <c r="AB39" s="7" t="e">
        <f t="shared" ca="1" si="3"/>
        <v>#NAME?</v>
      </c>
    </row>
    <row r="40" spans="1:28" ht="33.6" customHeight="1">
      <c r="A40" s="5">
        <v>39</v>
      </c>
      <c r="B40" s="5">
        <v>48</v>
      </c>
      <c r="C40" s="5">
        <v>39</v>
      </c>
      <c r="D40" s="5">
        <v>40</v>
      </c>
      <c r="E40" s="5">
        <v>33</v>
      </c>
      <c r="F40" s="6">
        <f t="shared" si="2"/>
        <v>3.5</v>
      </c>
      <c r="G40" s="5">
        <v>4</v>
      </c>
      <c r="H40" s="5">
        <v>4</v>
      </c>
      <c r="I40" s="5">
        <v>1</v>
      </c>
      <c r="J40" s="5">
        <v>5</v>
      </c>
      <c r="K40" s="4" t="s">
        <v>43</v>
      </c>
      <c r="L40" s="4" t="s">
        <v>356</v>
      </c>
      <c r="M40" s="4" t="s">
        <v>357</v>
      </c>
      <c r="N40" s="4" t="s">
        <v>358</v>
      </c>
      <c r="O40" s="4" t="s">
        <v>32</v>
      </c>
      <c r="P40" s="4" t="s">
        <v>359</v>
      </c>
      <c r="Q40" s="4" t="s">
        <v>34</v>
      </c>
      <c r="R40" s="4" t="s">
        <v>360</v>
      </c>
      <c r="S40" s="4" t="s">
        <v>361</v>
      </c>
      <c r="T40" s="4" t="s">
        <v>167</v>
      </c>
      <c r="U40" s="4" t="s">
        <v>362</v>
      </c>
      <c r="V40" s="4" t="s">
        <v>39</v>
      </c>
      <c r="W40" s="4" t="s">
        <v>40</v>
      </c>
      <c r="X40" s="4" t="s">
        <v>362</v>
      </c>
      <c r="Y40" s="4" t="s">
        <v>41</v>
      </c>
      <c r="Z40" s="4" t="s">
        <v>363</v>
      </c>
      <c r="AA40" s="4" t="s">
        <v>364</v>
      </c>
      <c r="AB40" s="7" t="e">
        <f t="shared" ca="1" si="3"/>
        <v>#NAME?</v>
      </c>
    </row>
    <row r="41" spans="1:28" ht="33.6" customHeight="1">
      <c r="A41" s="5">
        <v>40</v>
      </c>
      <c r="B41" s="5">
        <v>49</v>
      </c>
      <c r="C41" s="5">
        <v>40</v>
      </c>
      <c r="D41" s="5">
        <v>41</v>
      </c>
      <c r="E41" s="5">
        <v>34</v>
      </c>
      <c r="F41" s="6">
        <f t="shared" si="2"/>
        <v>3.5</v>
      </c>
      <c r="G41" s="5">
        <v>4</v>
      </c>
      <c r="H41" s="5">
        <v>4</v>
      </c>
      <c r="I41" s="5">
        <v>1</v>
      </c>
      <c r="J41" s="5">
        <v>5</v>
      </c>
      <c r="K41" s="4" t="s">
        <v>43</v>
      </c>
      <c r="L41" s="4" t="s">
        <v>365</v>
      </c>
      <c r="M41" s="4" t="s">
        <v>213</v>
      </c>
      <c r="N41" s="4" t="s">
        <v>366</v>
      </c>
      <c r="O41" s="4" t="s">
        <v>32</v>
      </c>
      <c r="P41" s="4" t="s">
        <v>367</v>
      </c>
      <c r="Q41" s="4" t="s">
        <v>34</v>
      </c>
      <c r="R41" s="4" t="s">
        <v>368</v>
      </c>
      <c r="S41" s="4" t="s">
        <v>369</v>
      </c>
      <c r="T41" s="4" t="s">
        <v>167</v>
      </c>
      <c r="U41" s="4" t="s">
        <v>370</v>
      </c>
      <c r="V41" s="4" t="s">
        <v>39</v>
      </c>
      <c r="W41" s="4" t="s">
        <v>40</v>
      </c>
      <c r="X41" s="4" t="s">
        <v>370</v>
      </c>
      <c r="Y41" s="4" t="s">
        <v>41</v>
      </c>
      <c r="Z41" s="4" t="s">
        <v>371</v>
      </c>
      <c r="AA41" s="4" t="s">
        <v>364</v>
      </c>
      <c r="AB41" s="7" t="e">
        <f t="shared" ca="1" si="3"/>
        <v>#NAME?</v>
      </c>
    </row>
    <row r="42" spans="1:28" ht="33.6" customHeight="1">
      <c r="A42" s="5">
        <v>41</v>
      </c>
      <c r="B42" s="5">
        <v>50</v>
      </c>
      <c r="C42" s="5">
        <v>41</v>
      </c>
      <c r="D42" s="5">
        <v>42</v>
      </c>
      <c r="E42" s="5">
        <v>35</v>
      </c>
      <c r="F42" s="6">
        <f t="shared" si="2"/>
        <v>3.5</v>
      </c>
      <c r="G42" s="5">
        <v>4</v>
      </c>
      <c r="H42" s="5">
        <v>4</v>
      </c>
      <c r="I42" s="5">
        <v>1</v>
      </c>
      <c r="J42" s="5">
        <v>5</v>
      </c>
      <c r="K42" s="4" t="s">
        <v>43</v>
      </c>
      <c r="L42" s="4" t="s">
        <v>372</v>
      </c>
      <c r="M42" s="4" t="s">
        <v>373</v>
      </c>
      <c r="N42" s="4" t="s">
        <v>374</v>
      </c>
      <c r="O42" s="4" t="s">
        <v>32</v>
      </c>
      <c r="P42" s="4" t="s">
        <v>375</v>
      </c>
      <c r="Q42" s="4" t="s">
        <v>34</v>
      </c>
      <c r="R42" s="4" t="s">
        <v>376</v>
      </c>
      <c r="S42" s="4" t="s">
        <v>377</v>
      </c>
      <c r="T42" s="4" t="s">
        <v>167</v>
      </c>
      <c r="U42" s="4" t="s">
        <v>378</v>
      </c>
      <c r="V42" s="4" t="s">
        <v>39</v>
      </c>
      <c r="W42" s="4" t="s">
        <v>40</v>
      </c>
      <c r="X42" s="4" t="s">
        <v>378</v>
      </c>
      <c r="Y42" s="4" t="s">
        <v>41</v>
      </c>
      <c r="Z42" s="4" t="s">
        <v>379</v>
      </c>
      <c r="AA42" s="4" t="s">
        <v>380</v>
      </c>
      <c r="AB42" s="7" t="e">
        <f t="shared" ca="1" si="3"/>
        <v>#NAME?</v>
      </c>
    </row>
    <row r="43" spans="1:28" ht="33.6" customHeight="1">
      <c r="A43" s="5">
        <v>42</v>
      </c>
      <c r="B43" s="5">
        <v>51</v>
      </c>
      <c r="C43" s="5">
        <v>42</v>
      </c>
      <c r="D43" s="5">
        <v>43</v>
      </c>
      <c r="E43" s="5">
        <v>36</v>
      </c>
      <c r="F43" s="6">
        <f t="shared" si="2"/>
        <v>3.5</v>
      </c>
      <c r="G43" s="5">
        <v>4</v>
      </c>
      <c r="H43" s="5">
        <v>4</v>
      </c>
      <c r="I43" s="5">
        <v>1</v>
      </c>
      <c r="J43" s="5">
        <v>5</v>
      </c>
      <c r="K43" s="4" t="s">
        <v>43</v>
      </c>
      <c r="L43" s="4" t="s">
        <v>381</v>
      </c>
      <c r="M43" s="4" t="s">
        <v>382</v>
      </c>
      <c r="N43" s="4" t="s">
        <v>383</v>
      </c>
      <c r="O43" s="4" t="s">
        <v>32</v>
      </c>
      <c r="P43" s="4" t="s">
        <v>384</v>
      </c>
      <c r="Q43" s="4" t="s">
        <v>34</v>
      </c>
      <c r="R43" s="4" t="s">
        <v>385</v>
      </c>
      <c r="S43" s="4" t="s">
        <v>386</v>
      </c>
      <c r="T43" s="4" t="s">
        <v>167</v>
      </c>
      <c r="U43" s="4" t="s">
        <v>387</v>
      </c>
      <c r="V43" s="4" t="s">
        <v>39</v>
      </c>
      <c r="W43" s="4" t="s">
        <v>40</v>
      </c>
      <c r="X43" s="4" t="s">
        <v>387</v>
      </c>
      <c r="Y43" s="4" t="s">
        <v>41</v>
      </c>
      <c r="Z43" s="4" t="s">
        <v>388</v>
      </c>
      <c r="AA43" s="4" t="s">
        <v>389</v>
      </c>
      <c r="AB43" s="7" t="e">
        <f t="shared" ca="1" si="3"/>
        <v>#NAME?</v>
      </c>
    </row>
    <row r="44" spans="1:28" ht="33.6" customHeight="1">
      <c r="A44" s="5">
        <v>43</v>
      </c>
      <c r="B44" s="5">
        <v>52</v>
      </c>
      <c r="C44" s="5">
        <v>43</v>
      </c>
      <c r="D44" s="5">
        <v>44</v>
      </c>
      <c r="E44" s="5">
        <v>37</v>
      </c>
      <c r="F44" s="6">
        <f t="shared" si="2"/>
        <v>3.5</v>
      </c>
      <c r="G44" s="5">
        <v>4</v>
      </c>
      <c r="H44" s="5">
        <v>4</v>
      </c>
      <c r="I44" s="5">
        <v>1</v>
      </c>
      <c r="J44" s="5">
        <v>5</v>
      </c>
      <c r="K44" s="4" t="s">
        <v>390</v>
      </c>
      <c r="L44" s="4" t="s">
        <v>391</v>
      </c>
      <c r="M44" s="4" t="s">
        <v>392</v>
      </c>
      <c r="N44" s="4" t="s">
        <v>393</v>
      </c>
      <c r="O44" s="4" t="s">
        <v>32</v>
      </c>
      <c r="P44" s="4" t="s">
        <v>394</v>
      </c>
      <c r="Q44" s="4" t="s">
        <v>34</v>
      </c>
      <c r="R44" s="4" t="s">
        <v>395</v>
      </c>
      <c r="S44" s="4" t="s">
        <v>396</v>
      </c>
      <c r="T44" s="4" t="s">
        <v>167</v>
      </c>
      <c r="U44" s="4" t="s">
        <v>397</v>
      </c>
      <c r="V44" s="4" t="s">
        <v>39</v>
      </c>
      <c r="W44" s="4" t="s">
        <v>40</v>
      </c>
      <c r="X44" s="4" t="s">
        <v>397</v>
      </c>
      <c r="Y44" s="4" t="s">
        <v>41</v>
      </c>
      <c r="Z44" s="4" t="s">
        <v>398</v>
      </c>
      <c r="AA44" s="4" t="s">
        <v>399</v>
      </c>
      <c r="AB44" s="7" t="e">
        <f t="shared" ca="1" si="3"/>
        <v>#NAME?</v>
      </c>
    </row>
    <row r="45" spans="1:28" ht="33.6" customHeight="1">
      <c r="A45" s="5">
        <v>44</v>
      </c>
      <c r="B45" s="5">
        <v>53</v>
      </c>
      <c r="C45" s="5">
        <v>44</v>
      </c>
      <c r="D45" s="5">
        <v>45</v>
      </c>
      <c r="E45" s="5">
        <v>38</v>
      </c>
      <c r="F45" s="6">
        <f t="shared" si="2"/>
        <v>3.5</v>
      </c>
      <c r="G45" s="5">
        <v>4</v>
      </c>
      <c r="H45" s="5">
        <v>4</v>
      </c>
      <c r="I45" s="5">
        <v>1</v>
      </c>
      <c r="J45" s="5">
        <v>5</v>
      </c>
      <c r="K45" s="4" t="s">
        <v>28</v>
      </c>
      <c r="L45" s="4" t="s">
        <v>400</v>
      </c>
      <c r="M45" s="4" t="s">
        <v>382</v>
      </c>
      <c r="N45" s="4" t="s">
        <v>401</v>
      </c>
      <c r="O45" s="4" t="s">
        <v>32</v>
      </c>
      <c r="P45" s="4" t="s">
        <v>33</v>
      </c>
      <c r="Q45" s="4" t="s">
        <v>34</v>
      </c>
      <c r="R45" s="4" t="s">
        <v>402</v>
      </c>
      <c r="S45" s="4" t="s">
        <v>403</v>
      </c>
      <c r="T45" s="4" t="s">
        <v>167</v>
      </c>
      <c r="U45" s="4" t="s">
        <v>404</v>
      </c>
      <c r="V45" s="4" t="s">
        <v>39</v>
      </c>
      <c r="W45" s="4" t="s">
        <v>40</v>
      </c>
      <c r="X45" s="4" t="s">
        <v>404</v>
      </c>
      <c r="Y45" s="4" t="s">
        <v>41</v>
      </c>
      <c r="Z45" s="4" t="s">
        <v>405</v>
      </c>
      <c r="AA45" s="4" t="s">
        <v>406</v>
      </c>
      <c r="AB45" s="7" t="e">
        <f t="shared" ca="1" si="3"/>
        <v>#NAME?</v>
      </c>
    </row>
    <row r="46" spans="1:28" ht="33.6" customHeight="1">
      <c r="A46" s="5">
        <v>45</v>
      </c>
      <c r="B46" s="5">
        <v>26</v>
      </c>
      <c r="C46" s="5">
        <v>53</v>
      </c>
      <c r="D46" s="5">
        <v>46</v>
      </c>
      <c r="E46" s="5">
        <v>39</v>
      </c>
      <c r="F46" s="6">
        <f t="shared" si="2"/>
        <v>3.5</v>
      </c>
      <c r="G46" s="5">
        <v>5</v>
      </c>
      <c r="H46" s="5">
        <v>3</v>
      </c>
      <c r="I46" s="5">
        <v>1</v>
      </c>
      <c r="J46" s="5">
        <v>5</v>
      </c>
      <c r="K46" s="4" t="s">
        <v>43</v>
      </c>
      <c r="L46" s="4" t="s">
        <v>407</v>
      </c>
      <c r="M46" s="4" t="s">
        <v>408</v>
      </c>
      <c r="N46" s="4" t="s">
        <v>409</v>
      </c>
      <c r="O46" s="4" t="s">
        <v>32</v>
      </c>
      <c r="P46" s="4" t="s">
        <v>410</v>
      </c>
      <c r="Q46" s="4" t="s">
        <v>34</v>
      </c>
      <c r="R46" s="4" t="s">
        <v>411</v>
      </c>
      <c r="S46" s="4" t="s">
        <v>412</v>
      </c>
      <c r="T46" s="4" t="s">
        <v>413</v>
      </c>
      <c r="U46" s="4" t="s">
        <v>414</v>
      </c>
      <c r="V46" s="4" t="s">
        <v>39</v>
      </c>
      <c r="W46" s="4" t="s">
        <v>40</v>
      </c>
      <c r="X46" s="4" t="s">
        <v>414</v>
      </c>
      <c r="Y46" s="4" t="s">
        <v>41</v>
      </c>
      <c r="Z46" s="4" t="s">
        <v>415</v>
      </c>
      <c r="AA46" s="4" t="s">
        <v>416</v>
      </c>
      <c r="AB46" s="7" t="e">
        <f t="shared" ca="1" si="3"/>
        <v>#NAME?</v>
      </c>
    </row>
    <row r="47" spans="1:28" ht="33.6" customHeight="1">
      <c r="A47" s="5">
        <v>46</v>
      </c>
      <c r="B47" s="5">
        <v>54</v>
      </c>
      <c r="C47" s="5">
        <v>45</v>
      </c>
      <c r="D47" s="5">
        <v>47</v>
      </c>
      <c r="E47" s="5">
        <v>52</v>
      </c>
      <c r="F47" s="6">
        <f t="shared" si="2"/>
        <v>3.4</v>
      </c>
      <c r="G47" s="5">
        <v>4</v>
      </c>
      <c r="H47" s="5">
        <v>4</v>
      </c>
      <c r="I47" s="5">
        <v>1</v>
      </c>
      <c r="J47" s="5">
        <v>4</v>
      </c>
      <c r="K47" s="4" t="s">
        <v>28</v>
      </c>
      <c r="L47" s="4" t="s">
        <v>417</v>
      </c>
      <c r="M47" s="4" t="s">
        <v>418</v>
      </c>
      <c r="N47" s="4" t="s">
        <v>419</v>
      </c>
      <c r="O47" s="4" t="s">
        <v>32</v>
      </c>
      <c r="P47" s="4" t="s">
        <v>33</v>
      </c>
      <c r="Q47" s="4" t="s">
        <v>34</v>
      </c>
      <c r="R47" s="4" t="s">
        <v>420</v>
      </c>
      <c r="S47" s="4" t="s">
        <v>421</v>
      </c>
      <c r="T47" s="4" t="s">
        <v>167</v>
      </c>
      <c r="U47" s="4" t="s">
        <v>422</v>
      </c>
      <c r="V47" s="4" t="s">
        <v>39</v>
      </c>
      <c r="W47" s="4" t="s">
        <v>40</v>
      </c>
      <c r="X47" s="4" t="s">
        <v>422</v>
      </c>
      <c r="Y47" s="4" t="s">
        <v>41</v>
      </c>
      <c r="Z47" s="4" t="s">
        <v>423</v>
      </c>
      <c r="AA47" s="4" t="s">
        <v>424</v>
      </c>
      <c r="AB47" s="7" t="e">
        <f t="shared" ca="1" si="3"/>
        <v>#NAME?</v>
      </c>
    </row>
    <row r="48" spans="1:28" ht="33.6" customHeight="1">
      <c r="A48" s="5">
        <v>47</v>
      </c>
      <c r="B48" s="5">
        <v>55</v>
      </c>
      <c r="C48" s="5">
        <v>46</v>
      </c>
      <c r="D48" s="5">
        <v>48</v>
      </c>
      <c r="E48" s="5">
        <v>53</v>
      </c>
      <c r="F48" s="6">
        <f t="shared" si="2"/>
        <v>3.4</v>
      </c>
      <c r="G48" s="5">
        <v>4</v>
      </c>
      <c r="H48" s="5">
        <v>4</v>
      </c>
      <c r="I48" s="5">
        <v>1</v>
      </c>
      <c r="J48" s="5">
        <v>4</v>
      </c>
      <c r="K48" s="4" t="s">
        <v>43</v>
      </c>
      <c r="L48" s="4" t="s">
        <v>425</v>
      </c>
      <c r="M48" s="4" t="s">
        <v>221</v>
      </c>
      <c r="N48" s="4" t="s">
        <v>426</v>
      </c>
      <c r="O48" s="4" t="s">
        <v>32</v>
      </c>
      <c r="P48" s="4" t="s">
        <v>367</v>
      </c>
      <c r="Q48" s="4" t="s">
        <v>34</v>
      </c>
      <c r="R48" s="4" t="s">
        <v>427</v>
      </c>
      <c r="S48" s="4" t="s">
        <v>428</v>
      </c>
      <c r="T48" s="4" t="s">
        <v>167</v>
      </c>
      <c r="U48" s="4" t="s">
        <v>429</v>
      </c>
      <c r="V48" s="4" t="s">
        <v>39</v>
      </c>
      <c r="W48" s="4" t="s">
        <v>40</v>
      </c>
      <c r="X48" s="4" t="s">
        <v>429</v>
      </c>
      <c r="Y48" s="4" t="s">
        <v>41</v>
      </c>
      <c r="Z48" s="4" t="s">
        <v>430</v>
      </c>
      <c r="AA48" s="4" t="s">
        <v>364</v>
      </c>
      <c r="AB48" s="7" t="e">
        <f t="shared" ca="1" si="3"/>
        <v>#NAME?</v>
      </c>
    </row>
    <row r="49" spans="1:28" ht="33.6" customHeight="1">
      <c r="A49" s="5">
        <v>48</v>
      </c>
      <c r="B49" s="5">
        <v>56</v>
      </c>
      <c r="C49" s="5">
        <v>47</v>
      </c>
      <c r="D49" s="5">
        <v>49</v>
      </c>
      <c r="E49" s="5">
        <v>54</v>
      </c>
      <c r="F49" s="6">
        <f t="shared" si="2"/>
        <v>3.4</v>
      </c>
      <c r="G49" s="5">
        <v>4</v>
      </c>
      <c r="H49" s="5">
        <v>4</v>
      </c>
      <c r="I49" s="5">
        <v>1</v>
      </c>
      <c r="J49" s="5">
        <v>4</v>
      </c>
      <c r="K49" s="4" t="s">
        <v>28</v>
      </c>
      <c r="L49" s="4" t="s">
        <v>431</v>
      </c>
      <c r="M49" s="4" t="s">
        <v>432</v>
      </c>
      <c r="N49" s="4" t="s">
        <v>433</v>
      </c>
      <c r="O49" s="4" t="s">
        <v>32</v>
      </c>
      <c r="P49" s="4" t="s">
        <v>33</v>
      </c>
      <c r="Q49" s="4" t="s">
        <v>34</v>
      </c>
      <c r="R49" s="4" t="s">
        <v>434</v>
      </c>
      <c r="S49" s="4" t="s">
        <v>435</v>
      </c>
      <c r="T49" s="4" t="s">
        <v>167</v>
      </c>
      <c r="U49" s="4" t="s">
        <v>436</v>
      </c>
      <c r="V49" s="4" t="s">
        <v>39</v>
      </c>
      <c r="W49" s="4" t="s">
        <v>40</v>
      </c>
      <c r="X49" s="4" t="s">
        <v>436</v>
      </c>
      <c r="Y49" s="4" t="s">
        <v>41</v>
      </c>
      <c r="Z49" s="4" t="s">
        <v>437</v>
      </c>
      <c r="AA49" s="4" t="s">
        <v>438</v>
      </c>
      <c r="AB49" s="7" t="e">
        <f t="shared" ca="1" si="3"/>
        <v>#NAME?</v>
      </c>
    </row>
    <row r="50" spans="1:28" ht="33.6" customHeight="1">
      <c r="A50" s="5">
        <v>49</v>
      </c>
      <c r="B50" s="5">
        <v>57</v>
      </c>
      <c r="C50" s="5">
        <v>48</v>
      </c>
      <c r="D50" s="5">
        <v>50</v>
      </c>
      <c r="E50" s="5">
        <v>55</v>
      </c>
      <c r="F50" s="6">
        <f t="shared" si="2"/>
        <v>3.4</v>
      </c>
      <c r="G50" s="5">
        <v>4</v>
      </c>
      <c r="H50" s="5">
        <v>4</v>
      </c>
      <c r="I50" s="5">
        <v>1</v>
      </c>
      <c r="J50" s="5">
        <v>4</v>
      </c>
      <c r="K50" s="4" t="s">
        <v>28</v>
      </c>
      <c r="L50" s="4" t="s">
        <v>439</v>
      </c>
      <c r="M50" s="4" t="s">
        <v>440</v>
      </c>
      <c r="N50" s="4" t="s">
        <v>441</v>
      </c>
      <c r="O50" s="4" t="s">
        <v>32</v>
      </c>
      <c r="P50" s="4" t="s">
        <v>33</v>
      </c>
      <c r="Q50" s="4" t="s">
        <v>34</v>
      </c>
      <c r="R50" s="4" t="s">
        <v>442</v>
      </c>
      <c r="S50" s="4" t="s">
        <v>443</v>
      </c>
      <c r="T50" s="4" t="s">
        <v>167</v>
      </c>
      <c r="U50" s="4" t="s">
        <v>444</v>
      </c>
      <c r="V50" s="4" t="s">
        <v>39</v>
      </c>
      <c r="W50" s="4" t="s">
        <v>40</v>
      </c>
      <c r="X50" s="4" t="s">
        <v>444</v>
      </c>
      <c r="Y50" s="4" t="s">
        <v>41</v>
      </c>
      <c r="Z50" s="4" t="s">
        <v>445</v>
      </c>
      <c r="AA50" s="4" t="s">
        <v>446</v>
      </c>
      <c r="AB50" s="7" t="e">
        <f t="shared" ca="1" si="3"/>
        <v>#NAME?</v>
      </c>
    </row>
    <row r="51" spans="1:28" ht="33.6" customHeight="1">
      <c r="A51" s="5">
        <v>50</v>
      </c>
      <c r="B51" s="5">
        <v>27</v>
      </c>
      <c r="C51" s="5">
        <v>54</v>
      </c>
      <c r="D51" s="5">
        <v>51</v>
      </c>
      <c r="E51" s="5">
        <v>56</v>
      </c>
      <c r="F51" s="6">
        <f t="shared" si="2"/>
        <v>3.4</v>
      </c>
      <c r="G51" s="5">
        <v>5</v>
      </c>
      <c r="H51" s="5">
        <v>3</v>
      </c>
      <c r="I51" s="5">
        <v>1</v>
      </c>
      <c r="J51" s="5">
        <v>4</v>
      </c>
      <c r="K51" s="4" t="s">
        <v>78</v>
      </c>
      <c r="L51" s="4" t="s">
        <v>447</v>
      </c>
      <c r="M51" s="4" t="s">
        <v>448</v>
      </c>
      <c r="N51" s="4" t="s">
        <v>449</v>
      </c>
      <c r="O51" s="4" t="s">
        <v>32</v>
      </c>
      <c r="P51" s="4" t="s">
        <v>450</v>
      </c>
      <c r="Q51" s="4" t="s">
        <v>34</v>
      </c>
      <c r="R51" s="4" t="s">
        <v>451</v>
      </c>
      <c r="S51" s="4" t="s">
        <v>452</v>
      </c>
      <c r="T51" s="4" t="s">
        <v>413</v>
      </c>
      <c r="U51" s="4" t="s">
        <v>453</v>
      </c>
      <c r="V51" s="4" t="s">
        <v>39</v>
      </c>
      <c r="W51" s="4" t="s">
        <v>40</v>
      </c>
      <c r="X51" s="4" t="s">
        <v>453</v>
      </c>
      <c r="Y51" s="4" t="s">
        <v>41</v>
      </c>
      <c r="Z51" s="4" t="s">
        <v>454</v>
      </c>
      <c r="AA51" s="4" t="s">
        <v>87</v>
      </c>
      <c r="AB51" s="7" t="e">
        <f t="shared" ca="1" si="3"/>
        <v>#NAME?</v>
      </c>
    </row>
    <row r="52" spans="1:28" ht="33.6" customHeight="1">
      <c r="A52" s="5">
        <v>51</v>
      </c>
      <c r="B52" s="5">
        <v>28</v>
      </c>
      <c r="C52" s="5">
        <v>55</v>
      </c>
      <c r="D52" s="5">
        <v>52</v>
      </c>
      <c r="E52" s="5">
        <v>57</v>
      </c>
      <c r="F52" s="6">
        <f t="shared" si="2"/>
        <v>3.4</v>
      </c>
      <c r="G52" s="5">
        <v>5</v>
      </c>
      <c r="H52" s="5">
        <v>3</v>
      </c>
      <c r="I52" s="5">
        <v>1</v>
      </c>
      <c r="J52" s="5">
        <v>4</v>
      </c>
      <c r="K52" s="4" t="s">
        <v>78</v>
      </c>
      <c r="L52" s="4" t="s">
        <v>455</v>
      </c>
      <c r="M52" s="4" t="s">
        <v>456</v>
      </c>
      <c r="N52" s="4" t="s">
        <v>457</v>
      </c>
      <c r="O52" s="4" t="s">
        <v>32</v>
      </c>
      <c r="P52" s="4" t="s">
        <v>458</v>
      </c>
      <c r="Q52" s="4" t="s">
        <v>34</v>
      </c>
      <c r="R52" s="4" t="s">
        <v>459</v>
      </c>
      <c r="S52" s="4" t="s">
        <v>460</v>
      </c>
      <c r="T52" s="4" t="s">
        <v>413</v>
      </c>
      <c r="U52" s="4" t="s">
        <v>461</v>
      </c>
      <c r="V52" s="4" t="s">
        <v>39</v>
      </c>
      <c r="W52" s="4" t="s">
        <v>40</v>
      </c>
      <c r="X52" s="4" t="s">
        <v>461</v>
      </c>
      <c r="Y52" s="4" t="s">
        <v>41</v>
      </c>
      <c r="Z52" s="4" t="s">
        <v>462</v>
      </c>
      <c r="AA52" s="4" t="s">
        <v>463</v>
      </c>
      <c r="AB52" s="7" t="e">
        <f t="shared" ca="1" si="3"/>
        <v>#NAME?</v>
      </c>
    </row>
    <row r="53" spans="1:28" ht="33.6" customHeight="1">
      <c r="A53" s="5">
        <v>52</v>
      </c>
      <c r="B53" s="5">
        <v>29</v>
      </c>
      <c r="C53" s="5">
        <v>56</v>
      </c>
      <c r="D53" s="5">
        <v>53</v>
      </c>
      <c r="E53" s="5">
        <v>58</v>
      </c>
      <c r="F53" s="6">
        <f t="shared" si="2"/>
        <v>3.4</v>
      </c>
      <c r="G53" s="5">
        <v>5</v>
      </c>
      <c r="H53" s="5">
        <v>3</v>
      </c>
      <c r="I53" s="5">
        <v>1</v>
      </c>
      <c r="J53" s="5">
        <v>4</v>
      </c>
      <c r="K53" s="4" t="s">
        <v>464</v>
      </c>
      <c r="L53" s="4" t="s">
        <v>465</v>
      </c>
      <c r="M53" s="4" t="s">
        <v>466</v>
      </c>
      <c r="N53" s="4" t="s">
        <v>467</v>
      </c>
      <c r="O53" s="4" t="s">
        <v>32</v>
      </c>
      <c r="P53" s="4" t="s">
        <v>468</v>
      </c>
      <c r="Q53" s="4" t="s">
        <v>34</v>
      </c>
      <c r="R53" s="4" t="s">
        <v>469</v>
      </c>
      <c r="S53" s="4" t="s">
        <v>470</v>
      </c>
      <c r="T53" s="4" t="s">
        <v>413</v>
      </c>
      <c r="U53" s="4" t="s">
        <v>471</v>
      </c>
      <c r="V53" s="4" t="s">
        <v>39</v>
      </c>
      <c r="W53" s="4" t="s">
        <v>40</v>
      </c>
      <c r="X53" s="4" t="s">
        <v>471</v>
      </c>
      <c r="Y53" s="4" t="s">
        <v>41</v>
      </c>
      <c r="Z53" s="4" t="s">
        <v>472</v>
      </c>
      <c r="AA53" s="4" t="s">
        <v>473</v>
      </c>
      <c r="AB53" s="7" t="e">
        <f t="shared" ca="1" si="3"/>
        <v>#NAME?</v>
      </c>
    </row>
    <row r="54" spans="1:28" ht="33.6" customHeight="1">
      <c r="A54" s="5">
        <v>53</v>
      </c>
      <c r="B54" s="5">
        <v>30</v>
      </c>
      <c r="C54" s="5">
        <v>57</v>
      </c>
      <c r="D54" s="5">
        <v>54</v>
      </c>
      <c r="E54" s="5">
        <v>59</v>
      </c>
      <c r="F54" s="6">
        <f t="shared" si="2"/>
        <v>3.4</v>
      </c>
      <c r="G54" s="5">
        <v>5</v>
      </c>
      <c r="H54" s="5">
        <v>3</v>
      </c>
      <c r="I54" s="5">
        <v>1</v>
      </c>
      <c r="J54" s="5">
        <v>4</v>
      </c>
      <c r="K54" s="4" t="s">
        <v>78</v>
      </c>
      <c r="L54" s="4" t="s">
        <v>474</v>
      </c>
      <c r="M54" s="4" t="s">
        <v>475</v>
      </c>
      <c r="N54" s="4" t="s">
        <v>476</v>
      </c>
      <c r="O54" s="4" t="s">
        <v>32</v>
      </c>
      <c r="P54" s="4" t="s">
        <v>477</v>
      </c>
      <c r="Q54" s="4" t="s">
        <v>34</v>
      </c>
      <c r="R54" s="4" t="s">
        <v>478</v>
      </c>
      <c r="S54" s="4" t="s">
        <v>479</v>
      </c>
      <c r="T54" s="4" t="s">
        <v>413</v>
      </c>
      <c r="U54" s="4" t="s">
        <v>480</v>
      </c>
      <c r="V54" s="4" t="s">
        <v>39</v>
      </c>
      <c r="W54" s="4" t="s">
        <v>40</v>
      </c>
      <c r="X54" s="4" t="s">
        <v>480</v>
      </c>
      <c r="Y54" s="4" t="s">
        <v>41</v>
      </c>
      <c r="Z54" s="4" t="s">
        <v>481</v>
      </c>
      <c r="AA54" s="4" t="s">
        <v>482</v>
      </c>
      <c r="AB54" s="7" t="e">
        <f t="shared" ca="1" si="3"/>
        <v>#NAME?</v>
      </c>
    </row>
    <row r="55" spans="1:28" ht="33.6" customHeight="1">
      <c r="A55" s="5">
        <v>54</v>
      </c>
      <c r="B55" s="5">
        <v>31</v>
      </c>
      <c r="C55" s="5">
        <v>58</v>
      </c>
      <c r="D55" s="5">
        <v>55</v>
      </c>
      <c r="E55" s="5">
        <v>60</v>
      </c>
      <c r="F55" s="6">
        <f t="shared" si="2"/>
        <v>3.4</v>
      </c>
      <c r="G55" s="5">
        <v>5</v>
      </c>
      <c r="H55" s="5">
        <v>3</v>
      </c>
      <c r="I55" s="5">
        <v>1</v>
      </c>
      <c r="J55" s="5">
        <v>4</v>
      </c>
      <c r="K55" s="4" t="s">
        <v>28</v>
      </c>
      <c r="L55" s="4" t="s">
        <v>483</v>
      </c>
      <c r="M55" s="4" t="s">
        <v>484</v>
      </c>
      <c r="N55" s="4" t="s">
        <v>485</v>
      </c>
      <c r="O55" s="4" t="s">
        <v>32</v>
      </c>
      <c r="P55" s="4" t="s">
        <v>182</v>
      </c>
      <c r="Q55" s="4" t="s">
        <v>34</v>
      </c>
      <c r="R55" s="4" t="s">
        <v>486</v>
      </c>
      <c r="S55" s="4" t="s">
        <v>487</v>
      </c>
      <c r="T55" s="4" t="s">
        <v>413</v>
      </c>
      <c r="U55" s="4" t="s">
        <v>488</v>
      </c>
      <c r="V55" s="4" t="s">
        <v>39</v>
      </c>
      <c r="W55" s="4" t="s">
        <v>40</v>
      </c>
      <c r="X55" s="4" t="s">
        <v>488</v>
      </c>
      <c r="Y55" s="4" t="s">
        <v>41</v>
      </c>
      <c r="Z55" s="4" t="s">
        <v>489</v>
      </c>
      <c r="AA55" s="4" t="s">
        <v>490</v>
      </c>
      <c r="AB55" s="7" t="e">
        <f t="shared" ca="1" si="3"/>
        <v>#NAME?</v>
      </c>
    </row>
    <row r="56" spans="1:28" ht="33.6" customHeight="1">
      <c r="A56" s="5">
        <v>55</v>
      </c>
      <c r="B56" s="5">
        <v>32</v>
      </c>
      <c r="C56" s="5">
        <v>59</v>
      </c>
      <c r="D56" s="5">
        <v>56</v>
      </c>
      <c r="E56" s="5">
        <v>61</v>
      </c>
      <c r="F56" s="6">
        <f t="shared" si="2"/>
        <v>3.4</v>
      </c>
      <c r="G56" s="5">
        <v>5</v>
      </c>
      <c r="H56" s="5">
        <v>3</v>
      </c>
      <c r="I56" s="5">
        <v>1</v>
      </c>
      <c r="J56" s="5">
        <v>4</v>
      </c>
      <c r="K56" s="4" t="s">
        <v>464</v>
      </c>
      <c r="L56" s="4" t="s">
        <v>491</v>
      </c>
      <c r="M56" s="4" t="s">
        <v>492</v>
      </c>
      <c r="N56" s="4" t="s">
        <v>493</v>
      </c>
      <c r="O56" s="4" t="s">
        <v>32</v>
      </c>
      <c r="P56" s="4" t="s">
        <v>494</v>
      </c>
      <c r="Q56" s="4" t="s">
        <v>34</v>
      </c>
      <c r="R56" s="4" t="s">
        <v>495</v>
      </c>
      <c r="S56" s="4" t="s">
        <v>496</v>
      </c>
      <c r="T56" s="4" t="s">
        <v>413</v>
      </c>
      <c r="U56" s="4" t="s">
        <v>497</v>
      </c>
      <c r="V56" s="4" t="s">
        <v>39</v>
      </c>
      <c r="W56" s="4" t="s">
        <v>40</v>
      </c>
      <c r="X56" s="4" t="s">
        <v>497</v>
      </c>
      <c r="Y56" s="4" t="s">
        <v>41</v>
      </c>
      <c r="Z56" s="4" t="s">
        <v>498</v>
      </c>
      <c r="AA56" s="4" t="s">
        <v>499</v>
      </c>
      <c r="AB56" s="7" t="e">
        <f t="shared" ca="1" si="3"/>
        <v>#NAME?</v>
      </c>
    </row>
    <row r="57" spans="1:28" ht="33.6" customHeight="1">
      <c r="A57" s="5">
        <v>56</v>
      </c>
      <c r="B57" s="5">
        <v>33</v>
      </c>
      <c r="C57" s="5">
        <v>60</v>
      </c>
      <c r="D57" s="5">
        <v>57</v>
      </c>
      <c r="E57" s="5">
        <v>126</v>
      </c>
      <c r="F57" s="6">
        <f t="shared" si="2"/>
        <v>3.3</v>
      </c>
      <c r="G57" s="5">
        <v>5</v>
      </c>
      <c r="H57" s="5">
        <v>3</v>
      </c>
      <c r="I57" s="5">
        <v>1</v>
      </c>
      <c r="J57" s="5">
        <v>3</v>
      </c>
      <c r="K57" s="4" t="s">
        <v>464</v>
      </c>
      <c r="L57" s="4" t="s">
        <v>500</v>
      </c>
      <c r="M57" s="4" t="s">
        <v>501</v>
      </c>
      <c r="N57" s="4" t="s">
        <v>502</v>
      </c>
      <c r="O57" s="4" t="s">
        <v>32</v>
      </c>
      <c r="P57" s="4" t="s">
        <v>468</v>
      </c>
      <c r="Q57" s="4" t="s">
        <v>34</v>
      </c>
      <c r="R57" s="4" t="s">
        <v>503</v>
      </c>
      <c r="S57" s="4" t="s">
        <v>504</v>
      </c>
      <c r="T57" s="4" t="s">
        <v>413</v>
      </c>
      <c r="U57" s="4" t="s">
        <v>505</v>
      </c>
      <c r="V57" s="4" t="s">
        <v>39</v>
      </c>
      <c r="W57" s="4" t="s">
        <v>40</v>
      </c>
      <c r="X57" s="4" t="s">
        <v>505</v>
      </c>
      <c r="Y57" s="4" t="s">
        <v>41</v>
      </c>
      <c r="Z57" s="4" t="s">
        <v>506</v>
      </c>
      <c r="AA57" s="4" t="s">
        <v>507</v>
      </c>
      <c r="AB57" s="7" t="e">
        <f t="shared" ca="1" si="3"/>
        <v>#NAME?</v>
      </c>
    </row>
    <row r="58" spans="1:28" ht="33.6" customHeight="1">
      <c r="A58" s="5">
        <v>57</v>
      </c>
      <c r="B58" s="5">
        <v>34</v>
      </c>
      <c r="C58" s="5">
        <v>61</v>
      </c>
      <c r="D58" s="5">
        <v>58</v>
      </c>
      <c r="E58" s="5">
        <v>127</v>
      </c>
      <c r="F58" s="6">
        <f t="shared" si="2"/>
        <v>3.3</v>
      </c>
      <c r="G58" s="5">
        <v>5</v>
      </c>
      <c r="H58" s="5">
        <v>3</v>
      </c>
      <c r="I58" s="5">
        <v>1</v>
      </c>
      <c r="J58" s="5">
        <v>3</v>
      </c>
      <c r="K58" s="4" t="s">
        <v>464</v>
      </c>
      <c r="L58" s="4" t="s">
        <v>508</v>
      </c>
      <c r="M58" s="4" t="s">
        <v>509</v>
      </c>
      <c r="N58" s="4" t="s">
        <v>510</v>
      </c>
      <c r="O58" s="4" t="s">
        <v>32</v>
      </c>
      <c r="P58" s="4" t="s">
        <v>468</v>
      </c>
      <c r="Q58" s="4" t="s">
        <v>34</v>
      </c>
      <c r="R58" s="4" t="s">
        <v>511</v>
      </c>
      <c r="S58" s="4" t="s">
        <v>512</v>
      </c>
      <c r="T58" s="4" t="s">
        <v>413</v>
      </c>
      <c r="U58" s="4" t="s">
        <v>513</v>
      </c>
      <c r="V58" s="4" t="s">
        <v>39</v>
      </c>
      <c r="W58" s="4" t="s">
        <v>40</v>
      </c>
      <c r="X58" s="4" t="s">
        <v>513</v>
      </c>
      <c r="Y58" s="4" t="s">
        <v>41</v>
      </c>
      <c r="Z58" s="4" t="s">
        <v>514</v>
      </c>
      <c r="AA58" s="4" t="s">
        <v>473</v>
      </c>
      <c r="AB58" s="7" t="e">
        <f t="shared" ca="1" si="3"/>
        <v>#NAME?</v>
      </c>
    </row>
    <row r="59" spans="1:28" ht="33.6" customHeight="1">
      <c r="A59" s="5">
        <v>58</v>
      </c>
      <c r="B59" s="5">
        <v>102</v>
      </c>
      <c r="C59" s="5">
        <v>49</v>
      </c>
      <c r="D59" s="5">
        <v>14</v>
      </c>
      <c r="E59" s="5">
        <v>62</v>
      </c>
      <c r="F59" s="6">
        <f t="shared" si="2"/>
        <v>3.25</v>
      </c>
      <c r="G59" s="5">
        <v>3</v>
      </c>
      <c r="H59" s="5">
        <v>4</v>
      </c>
      <c r="I59" s="5">
        <v>2</v>
      </c>
      <c r="J59" s="5">
        <v>4</v>
      </c>
      <c r="K59" s="4" t="s">
        <v>28</v>
      </c>
      <c r="L59" s="4" t="s">
        <v>515</v>
      </c>
      <c r="M59" s="4" t="s">
        <v>516</v>
      </c>
      <c r="N59" s="4" t="s">
        <v>517</v>
      </c>
      <c r="O59" s="4" t="s">
        <v>32</v>
      </c>
      <c r="P59" s="4" t="s">
        <v>33</v>
      </c>
      <c r="Q59" s="4" t="s">
        <v>34</v>
      </c>
      <c r="R59" s="4" t="s">
        <v>518</v>
      </c>
      <c r="S59" s="4" t="s">
        <v>519</v>
      </c>
      <c r="T59" s="4" t="s">
        <v>167</v>
      </c>
      <c r="U59" s="4" t="s">
        <v>520</v>
      </c>
      <c r="V59" s="4" t="s">
        <v>39</v>
      </c>
      <c r="W59" s="4" t="s">
        <v>40</v>
      </c>
      <c r="X59" s="4" t="s">
        <v>520</v>
      </c>
      <c r="Y59" s="4" t="s">
        <v>41</v>
      </c>
      <c r="Z59" s="4" t="s">
        <v>521</v>
      </c>
      <c r="AA59" s="4" t="s">
        <v>522</v>
      </c>
      <c r="AB59" s="7" t="e">
        <f t="shared" ca="1" si="3"/>
        <v>#NAME?</v>
      </c>
    </row>
    <row r="60" spans="1:28" ht="33.6" customHeight="1">
      <c r="A60" s="5">
        <v>59</v>
      </c>
      <c r="B60" s="5">
        <v>103</v>
      </c>
      <c r="C60" s="5">
        <v>50</v>
      </c>
      <c r="D60" s="5">
        <v>59</v>
      </c>
      <c r="E60" s="5">
        <v>40</v>
      </c>
      <c r="F60" s="6">
        <f t="shared" si="2"/>
        <v>3.15</v>
      </c>
      <c r="G60" s="5">
        <v>3</v>
      </c>
      <c r="H60" s="5">
        <v>4</v>
      </c>
      <c r="I60" s="5">
        <v>1</v>
      </c>
      <c r="J60" s="5">
        <v>5</v>
      </c>
      <c r="K60" s="4" t="s">
        <v>28</v>
      </c>
      <c r="L60" s="4" t="s">
        <v>523</v>
      </c>
      <c r="M60" s="4" t="s">
        <v>524</v>
      </c>
      <c r="N60" s="4" t="s">
        <v>525</v>
      </c>
      <c r="O60" s="4" t="s">
        <v>32</v>
      </c>
      <c r="P60" s="4" t="s">
        <v>33</v>
      </c>
      <c r="Q60" s="4" t="s">
        <v>34</v>
      </c>
      <c r="R60" s="4" t="s">
        <v>526</v>
      </c>
      <c r="S60" s="4" t="s">
        <v>527</v>
      </c>
      <c r="T60" s="4" t="s">
        <v>167</v>
      </c>
      <c r="U60" s="4" t="s">
        <v>528</v>
      </c>
      <c r="V60" s="4" t="s">
        <v>39</v>
      </c>
      <c r="W60" s="4" t="s">
        <v>40</v>
      </c>
      <c r="X60" s="4" t="s">
        <v>528</v>
      </c>
      <c r="Y60" s="4" t="s">
        <v>41</v>
      </c>
      <c r="Z60" s="4" t="s">
        <v>529</v>
      </c>
      <c r="AA60" s="4" t="s">
        <v>530</v>
      </c>
      <c r="AB60" s="7" t="e">
        <f t="shared" ca="1" si="3"/>
        <v>#NAME?</v>
      </c>
    </row>
    <row r="61" spans="1:28" ht="33.6" customHeight="1">
      <c r="A61" s="5">
        <v>60</v>
      </c>
      <c r="B61" s="5">
        <v>104</v>
      </c>
      <c r="C61" s="5">
        <v>51</v>
      </c>
      <c r="D61" s="5">
        <v>60</v>
      </c>
      <c r="E61" s="5">
        <v>41</v>
      </c>
      <c r="F61" s="6">
        <f t="shared" si="2"/>
        <v>3.15</v>
      </c>
      <c r="G61" s="5">
        <v>3</v>
      </c>
      <c r="H61" s="5">
        <v>4</v>
      </c>
      <c r="I61" s="5">
        <v>1</v>
      </c>
      <c r="J61" s="5">
        <v>5</v>
      </c>
      <c r="K61" s="4" t="s">
        <v>28</v>
      </c>
      <c r="L61" s="4" t="s">
        <v>531</v>
      </c>
      <c r="M61" s="4" t="s">
        <v>45</v>
      </c>
      <c r="N61" s="4" t="s">
        <v>532</v>
      </c>
      <c r="O61" s="4" t="s">
        <v>32</v>
      </c>
      <c r="P61" s="4" t="s">
        <v>33</v>
      </c>
      <c r="Q61" s="4" t="s">
        <v>34</v>
      </c>
      <c r="R61" s="4" t="s">
        <v>533</v>
      </c>
      <c r="S61" s="4" t="s">
        <v>534</v>
      </c>
      <c r="T61" s="4" t="s">
        <v>167</v>
      </c>
      <c r="U61" s="4" t="s">
        <v>535</v>
      </c>
      <c r="V61" s="4" t="s">
        <v>39</v>
      </c>
      <c r="W61" s="4" t="s">
        <v>40</v>
      </c>
      <c r="X61" s="4" t="s">
        <v>535</v>
      </c>
      <c r="Y61" s="4" t="s">
        <v>41</v>
      </c>
      <c r="Z61" s="4" t="s">
        <v>536</v>
      </c>
      <c r="AA61" s="4" t="s">
        <v>537</v>
      </c>
      <c r="AB61" s="7" t="e">
        <f t="shared" ca="1" si="3"/>
        <v>#NAME?</v>
      </c>
    </row>
    <row r="62" spans="1:28" ht="33.6" customHeight="1">
      <c r="A62" s="5">
        <v>61</v>
      </c>
      <c r="B62" s="5">
        <v>58</v>
      </c>
      <c r="C62" s="5">
        <v>62</v>
      </c>
      <c r="D62" s="5">
        <v>61</v>
      </c>
      <c r="E62" s="5">
        <v>42</v>
      </c>
      <c r="F62" s="6">
        <f t="shared" si="2"/>
        <v>3.15</v>
      </c>
      <c r="G62" s="5">
        <v>4</v>
      </c>
      <c r="H62" s="5">
        <v>3</v>
      </c>
      <c r="I62" s="5">
        <v>1</v>
      </c>
      <c r="J62" s="5">
        <v>5</v>
      </c>
      <c r="K62" s="4" t="s">
        <v>43</v>
      </c>
      <c r="L62" s="4" t="s">
        <v>538</v>
      </c>
      <c r="M62" s="4" t="s">
        <v>180</v>
      </c>
      <c r="N62" s="4" t="s">
        <v>539</v>
      </c>
      <c r="O62" s="4" t="s">
        <v>32</v>
      </c>
      <c r="P62" s="4" t="s">
        <v>540</v>
      </c>
      <c r="Q62" s="4" t="s">
        <v>34</v>
      </c>
      <c r="R62" s="4" t="s">
        <v>541</v>
      </c>
      <c r="S62" s="4" t="s">
        <v>542</v>
      </c>
      <c r="T62" s="4" t="s">
        <v>413</v>
      </c>
      <c r="U62" s="4" t="s">
        <v>543</v>
      </c>
      <c r="V62" s="4" t="s">
        <v>39</v>
      </c>
      <c r="W62" s="4" t="s">
        <v>40</v>
      </c>
      <c r="X62" s="4" t="s">
        <v>543</v>
      </c>
      <c r="Y62" s="4" t="s">
        <v>41</v>
      </c>
      <c r="Z62" s="4" t="s">
        <v>544</v>
      </c>
      <c r="AA62" s="4" t="s">
        <v>545</v>
      </c>
      <c r="AB62" s="7" t="e">
        <f t="shared" ca="1" si="3"/>
        <v>#NAME?</v>
      </c>
    </row>
    <row r="63" spans="1:28" ht="33.6" customHeight="1">
      <c r="A63" s="5">
        <v>62</v>
      </c>
      <c r="B63" s="5">
        <v>59</v>
      </c>
      <c r="C63" s="5">
        <v>63</v>
      </c>
      <c r="D63" s="5">
        <v>62</v>
      </c>
      <c r="E63" s="5">
        <v>43</v>
      </c>
      <c r="F63" s="6">
        <f t="shared" si="2"/>
        <v>3.15</v>
      </c>
      <c r="G63" s="5">
        <v>4</v>
      </c>
      <c r="H63" s="5">
        <v>3</v>
      </c>
      <c r="I63" s="5">
        <v>1</v>
      </c>
      <c r="J63" s="5">
        <v>5</v>
      </c>
      <c r="K63" s="4" t="s">
        <v>43</v>
      </c>
      <c r="L63" s="4" t="s">
        <v>546</v>
      </c>
      <c r="M63" s="4" t="s">
        <v>547</v>
      </c>
      <c r="N63" s="4" t="s">
        <v>548</v>
      </c>
      <c r="O63" s="4" t="s">
        <v>32</v>
      </c>
      <c r="P63" s="4" t="s">
        <v>549</v>
      </c>
      <c r="Q63" s="4" t="s">
        <v>34</v>
      </c>
      <c r="R63" s="4" t="s">
        <v>550</v>
      </c>
      <c r="S63" s="4" t="s">
        <v>551</v>
      </c>
      <c r="T63" s="4" t="s">
        <v>413</v>
      </c>
      <c r="U63" s="4" t="s">
        <v>552</v>
      </c>
      <c r="V63" s="4" t="s">
        <v>39</v>
      </c>
      <c r="W63" s="4" t="s">
        <v>40</v>
      </c>
      <c r="X63" s="4" t="s">
        <v>552</v>
      </c>
      <c r="Y63" s="4" t="s">
        <v>41</v>
      </c>
      <c r="Z63" s="4" t="s">
        <v>553</v>
      </c>
      <c r="AA63" s="4" t="s">
        <v>554</v>
      </c>
      <c r="AB63" s="7" t="e">
        <f t="shared" ca="1" si="3"/>
        <v>#NAME?</v>
      </c>
    </row>
    <row r="64" spans="1:28" ht="33.6" customHeight="1">
      <c r="A64" s="5">
        <v>63</v>
      </c>
      <c r="B64" s="5">
        <v>60</v>
      </c>
      <c r="C64" s="5">
        <v>64</v>
      </c>
      <c r="D64" s="5">
        <v>63</v>
      </c>
      <c r="E64" s="5">
        <v>44</v>
      </c>
      <c r="F64" s="6">
        <f t="shared" si="2"/>
        <v>3.15</v>
      </c>
      <c r="G64" s="5">
        <v>4</v>
      </c>
      <c r="H64" s="5">
        <v>3</v>
      </c>
      <c r="I64" s="5">
        <v>1</v>
      </c>
      <c r="J64" s="5">
        <v>5</v>
      </c>
      <c r="K64" s="4" t="s">
        <v>28</v>
      </c>
      <c r="L64" s="4" t="s">
        <v>555</v>
      </c>
      <c r="M64" s="4" t="s">
        <v>556</v>
      </c>
      <c r="N64" s="4" t="s">
        <v>557</v>
      </c>
      <c r="O64" s="4" t="s">
        <v>32</v>
      </c>
      <c r="P64" s="4" t="s">
        <v>33</v>
      </c>
      <c r="Q64" s="4" t="s">
        <v>34</v>
      </c>
      <c r="R64" s="4" t="s">
        <v>558</v>
      </c>
      <c r="S64" s="4" t="s">
        <v>559</v>
      </c>
      <c r="T64" s="4" t="s">
        <v>413</v>
      </c>
      <c r="U64" s="4" t="s">
        <v>560</v>
      </c>
      <c r="V64" s="4" t="s">
        <v>39</v>
      </c>
      <c r="W64" s="4" t="s">
        <v>40</v>
      </c>
      <c r="X64" s="4" t="s">
        <v>560</v>
      </c>
      <c r="Y64" s="4" t="s">
        <v>41</v>
      </c>
      <c r="Z64" s="4" t="s">
        <v>561</v>
      </c>
      <c r="AA64" s="4" t="s">
        <v>562</v>
      </c>
      <c r="AB64" s="7" t="e">
        <f t="shared" ca="1" si="3"/>
        <v>#NAME?</v>
      </c>
    </row>
    <row r="65" spans="1:28" ht="33.6" customHeight="1">
      <c r="A65" s="5">
        <v>64</v>
      </c>
      <c r="B65" s="5">
        <v>61</v>
      </c>
      <c r="C65" s="5">
        <v>65</v>
      </c>
      <c r="D65" s="5">
        <v>64</v>
      </c>
      <c r="E65" s="5">
        <v>45</v>
      </c>
      <c r="F65" s="6">
        <f t="shared" si="2"/>
        <v>3.15</v>
      </c>
      <c r="G65" s="5">
        <v>4</v>
      </c>
      <c r="H65" s="5">
        <v>3</v>
      </c>
      <c r="I65" s="5">
        <v>1</v>
      </c>
      <c r="J65" s="5">
        <v>5</v>
      </c>
      <c r="K65" s="4" t="s">
        <v>28</v>
      </c>
      <c r="L65" s="4" t="s">
        <v>563</v>
      </c>
      <c r="M65" s="4" t="s">
        <v>564</v>
      </c>
      <c r="N65" s="4" t="s">
        <v>565</v>
      </c>
      <c r="O65" s="4" t="s">
        <v>32</v>
      </c>
      <c r="P65" s="4" t="s">
        <v>33</v>
      </c>
      <c r="Q65" s="4" t="s">
        <v>34</v>
      </c>
      <c r="R65" s="4" t="s">
        <v>566</v>
      </c>
      <c r="S65" s="4" t="s">
        <v>567</v>
      </c>
      <c r="T65" s="4" t="s">
        <v>413</v>
      </c>
      <c r="U65" s="4" t="s">
        <v>568</v>
      </c>
      <c r="V65" s="4" t="s">
        <v>39</v>
      </c>
      <c r="W65" s="4" t="s">
        <v>40</v>
      </c>
      <c r="X65" s="4" t="s">
        <v>568</v>
      </c>
      <c r="Y65" s="4" t="s">
        <v>41</v>
      </c>
      <c r="Z65" s="4" t="s">
        <v>569</v>
      </c>
      <c r="AA65" s="4" t="s">
        <v>296</v>
      </c>
      <c r="AB65" s="7" t="e">
        <f t="shared" ca="1" si="3"/>
        <v>#NAME?</v>
      </c>
    </row>
    <row r="66" spans="1:28" ht="33.6" customHeight="1">
      <c r="A66" s="5">
        <v>65</v>
      </c>
      <c r="B66" s="5">
        <v>105</v>
      </c>
      <c r="C66" s="5">
        <v>52</v>
      </c>
      <c r="D66" s="5">
        <v>65</v>
      </c>
      <c r="E66" s="5">
        <v>63</v>
      </c>
      <c r="F66" s="6">
        <f t="shared" ref="F66:F97" si="4">ROUND(0.35*G66+0.35*H66+0.2*I66+0.1*J66,2)</f>
        <v>3.05</v>
      </c>
      <c r="G66" s="5">
        <v>3</v>
      </c>
      <c r="H66" s="5">
        <v>4</v>
      </c>
      <c r="I66" s="5">
        <v>1</v>
      </c>
      <c r="J66" s="5">
        <v>4</v>
      </c>
      <c r="K66" s="4" t="s">
        <v>28</v>
      </c>
      <c r="L66" s="4" t="s">
        <v>570</v>
      </c>
      <c r="M66" s="4" t="s">
        <v>571</v>
      </c>
      <c r="N66" s="4" t="s">
        <v>572</v>
      </c>
      <c r="O66" s="4" t="s">
        <v>32</v>
      </c>
      <c r="P66" s="4" t="s">
        <v>33</v>
      </c>
      <c r="Q66" s="4" t="s">
        <v>34</v>
      </c>
      <c r="R66" s="4" t="s">
        <v>573</v>
      </c>
      <c r="S66" s="4" t="s">
        <v>574</v>
      </c>
      <c r="T66" s="4" t="s">
        <v>167</v>
      </c>
      <c r="U66" s="4" t="s">
        <v>575</v>
      </c>
      <c r="V66" s="4" t="s">
        <v>39</v>
      </c>
      <c r="W66" s="4" t="s">
        <v>40</v>
      </c>
      <c r="X66" s="4" t="s">
        <v>575</v>
      </c>
      <c r="Y66" s="4" t="s">
        <v>41</v>
      </c>
      <c r="Z66" s="4" t="s">
        <v>576</v>
      </c>
      <c r="AA66" s="4" t="s">
        <v>577</v>
      </c>
      <c r="AB66" s="7" t="e">
        <f t="shared" ref="AB66:AB97" ca="1" si="5">_xludf.IMAGE(AA66)</f>
        <v>#NAME?</v>
      </c>
    </row>
    <row r="67" spans="1:28" ht="33.6" customHeight="1">
      <c r="A67" s="5">
        <v>66</v>
      </c>
      <c r="B67" s="5">
        <v>62</v>
      </c>
      <c r="C67" s="5">
        <v>66</v>
      </c>
      <c r="D67" s="5">
        <v>66</v>
      </c>
      <c r="E67" s="5">
        <v>64</v>
      </c>
      <c r="F67" s="6">
        <f t="shared" si="4"/>
        <v>3.05</v>
      </c>
      <c r="G67" s="5">
        <v>4</v>
      </c>
      <c r="H67" s="5">
        <v>3</v>
      </c>
      <c r="I67" s="5">
        <v>1</v>
      </c>
      <c r="J67" s="5">
        <v>4</v>
      </c>
      <c r="K67" s="4" t="s">
        <v>464</v>
      </c>
      <c r="L67" s="4" t="s">
        <v>578</v>
      </c>
      <c r="M67" s="4" t="s">
        <v>547</v>
      </c>
      <c r="N67" s="4" t="s">
        <v>579</v>
      </c>
      <c r="O67" s="4" t="s">
        <v>32</v>
      </c>
      <c r="P67" s="4" t="s">
        <v>580</v>
      </c>
      <c r="Q67" s="4" t="s">
        <v>34</v>
      </c>
      <c r="R67" s="4" t="s">
        <v>581</v>
      </c>
      <c r="S67" s="4" t="s">
        <v>582</v>
      </c>
      <c r="T67" s="4" t="s">
        <v>413</v>
      </c>
      <c r="U67" s="4" t="s">
        <v>583</v>
      </c>
      <c r="V67" s="4" t="s">
        <v>39</v>
      </c>
      <c r="W67" s="4" t="s">
        <v>40</v>
      </c>
      <c r="X67" s="4" t="s">
        <v>583</v>
      </c>
      <c r="Y67" s="4" t="s">
        <v>41</v>
      </c>
      <c r="Z67" s="4" t="s">
        <v>584</v>
      </c>
      <c r="AA67" s="4" t="s">
        <v>585</v>
      </c>
      <c r="AB67" s="7" t="e">
        <f t="shared" ca="1" si="5"/>
        <v>#NAME?</v>
      </c>
    </row>
    <row r="68" spans="1:28" ht="33.6" customHeight="1">
      <c r="A68" s="5">
        <v>67</v>
      </c>
      <c r="B68" s="5">
        <v>63</v>
      </c>
      <c r="C68" s="5">
        <v>67</v>
      </c>
      <c r="D68" s="5">
        <v>67</v>
      </c>
      <c r="E68" s="5">
        <v>65</v>
      </c>
      <c r="F68" s="6">
        <f t="shared" si="4"/>
        <v>3.05</v>
      </c>
      <c r="G68" s="5">
        <v>4</v>
      </c>
      <c r="H68" s="5">
        <v>3</v>
      </c>
      <c r="I68" s="5">
        <v>1</v>
      </c>
      <c r="J68" s="5">
        <v>4</v>
      </c>
      <c r="K68" s="4" t="s">
        <v>78</v>
      </c>
      <c r="L68" s="4" t="s">
        <v>586</v>
      </c>
      <c r="M68" s="4" t="s">
        <v>587</v>
      </c>
      <c r="N68" s="4" t="s">
        <v>588</v>
      </c>
      <c r="O68" s="4" t="s">
        <v>32</v>
      </c>
      <c r="P68" s="4" t="s">
        <v>589</v>
      </c>
      <c r="Q68" s="4" t="s">
        <v>34</v>
      </c>
      <c r="R68" s="4" t="s">
        <v>590</v>
      </c>
      <c r="S68" s="4" t="s">
        <v>591</v>
      </c>
      <c r="T68" s="4" t="s">
        <v>413</v>
      </c>
      <c r="U68" s="4" t="s">
        <v>592</v>
      </c>
      <c r="V68" s="4" t="s">
        <v>39</v>
      </c>
      <c r="W68" s="4" t="s">
        <v>40</v>
      </c>
      <c r="X68" s="4" t="s">
        <v>592</v>
      </c>
      <c r="Y68" s="4" t="s">
        <v>41</v>
      </c>
      <c r="Z68" s="4" t="s">
        <v>593</v>
      </c>
      <c r="AA68" s="4" t="s">
        <v>594</v>
      </c>
      <c r="AB68" s="7" t="e">
        <f t="shared" ca="1" si="5"/>
        <v>#NAME?</v>
      </c>
    </row>
    <row r="69" spans="1:28" ht="33.6" customHeight="1">
      <c r="A69" s="5">
        <v>68</v>
      </c>
      <c r="B69" s="5">
        <v>64</v>
      </c>
      <c r="C69" s="5">
        <v>68</v>
      </c>
      <c r="D69" s="5">
        <v>68</v>
      </c>
      <c r="E69" s="5">
        <v>66</v>
      </c>
      <c r="F69" s="6">
        <f t="shared" si="4"/>
        <v>3.05</v>
      </c>
      <c r="G69" s="5">
        <v>4</v>
      </c>
      <c r="H69" s="5">
        <v>3</v>
      </c>
      <c r="I69" s="5">
        <v>1</v>
      </c>
      <c r="J69" s="5">
        <v>4</v>
      </c>
      <c r="K69" s="4" t="s">
        <v>78</v>
      </c>
      <c r="L69" s="4" t="s">
        <v>595</v>
      </c>
      <c r="M69" s="4" t="s">
        <v>596</v>
      </c>
      <c r="N69" s="4" t="s">
        <v>597</v>
      </c>
      <c r="O69" s="4" t="s">
        <v>32</v>
      </c>
      <c r="P69" s="4" t="s">
        <v>598</v>
      </c>
      <c r="Q69" s="4" t="s">
        <v>34</v>
      </c>
      <c r="R69" s="4" t="s">
        <v>599</v>
      </c>
      <c r="S69" s="4" t="s">
        <v>600</v>
      </c>
      <c r="T69" s="4" t="s">
        <v>413</v>
      </c>
      <c r="U69" s="4" t="s">
        <v>601</v>
      </c>
      <c r="V69" s="4" t="s">
        <v>39</v>
      </c>
      <c r="W69" s="4" t="s">
        <v>40</v>
      </c>
      <c r="X69" s="4" t="s">
        <v>601</v>
      </c>
      <c r="Y69" s="4" t="s">
        <v>41</v>
      </c>
      <c r="Z69" s="4" t="s">
        <v>602</v>
      </c>
      <c r="AA69" s="4" t="s">
        <v>603</v>
      </c>
      <c r="AB69" s="7" t="e">
        <f t="shared" ca="1" si="5"/>
        <v>#NAME?</v>
      </c>
    </row>
    <row r="70" spans="1:28" ht="33.6" customHeight="1">
      <c r="A70" s="5">
        <v>69</v>
      </c>
      <c r="B70" s="5">
        <v>65</v>
      </c>
      <c r="C70" s="5">
        <v>69</v>
      </c>
      <c r="D70" s="5">
        <v>69</v>
      </c>
      <c r="E70" s="5">
        <v>67</v>
      </c>
      <c r="F70" s="6">
        <f t="shared" si="4"/>
        <v>3.05</v>
      </c>
      <c r="G70" s="5">
        <v>4</v>
      </c>
      <c r="H70" s="5">
        <v>3</v>
      </c>
      <c r="I70" s="5">
        <v>1</v>
      </c>
      <c r="J70" s="5">
        <v>4</v>
      </c>
      <c r="K70" s="4" t="s">
        <v>78</v>
      </c>
      <c r="L70" s="4" t="s">
        <v>604</v>
      </c>
      <c r="M70" s="4" t="s">
        <v>587</v>
      </c>
      <c r="N70" s="4" t="s">
        <v>605</v>
      </c>
      <c r="O70" s="4" t="s">
        <v>32</v>
      </c>
      <c r="P70" s="4" t="s">
        <v>606</v>
      </c>
      <c r="Q70" s="4" t="s">
        <v>34</v>
      </c>
      <c r="R70" s="4" t="s">
        <v>607</v>
      </c>
      <c r="S70" s="4" t="s">
        <v>608</v>
      </c>
      <c r="T70" s="4" t="s">
        <v>413</v>
      </c>
      <c r="U70" s="4" t="s">
        <v>609</v>
      </c>
      <c r="V70" s="4" t="s">
        <v>39</v>
      </c>
      <c r="W70" s="4" t="s">
        <v>40</v>
      </c>
      <c r="X70" s="4" t="s">
        <v>609</v>
      </c>
      <c r="Y70" s="4" t="s">
        <v>41</v>
      </c>
      <c r="Z70" s="4" t="s">
        <v>610</v>
      </c>
      <c r="AA70" s="4" t="s">
        <v>611</v>
      </c>
      <c r="AB70" s="7" t="e">
        <f t="shared" ca="1" si="5"/>
        <v>#NAME?</v>
      </c>
    </row>
    <row r="71" spans="1:28" ht="33.6" customHeight="1">
      <c r="A71" s="5">
        <v>70</v>
      </c>
      <c r="B71" s="5">
        <v>66</v>
      </c>
      <c r="C71" s="5">
        <v>70</v>
      </c>
      <c r="D71" s="5">
        <v>70</v>
      </c>
      <c r="E71" s="5">
        <v>68</v>
      </c>
      <c r="F71" s="6">
        <f t="shared" si="4"/>
        <v>3.05</v>
      </c>
      <c r="G71" s="5">
        <v>4</v>
      </c>
      <c r="H71" s="5">
        <v>3</v>
      </c>
      <c r="I71" s="5">
        <v>1</v>
      </c>
      <c r="J71" s="5">
        <v>4</v>
      </c>
      <c r="K71" s="4" t="s">
        <v>28</v>
      </c>
      <c r="L71" s="4" t="s">
        <v>612</v>
      </c>
      <c r="M71" s="4" t="s">
        <v>613</v>
      </c>
      <c r="N71" s="4" t="s">
        <v>614</v>
      </c>
      <c r="O71" s="4" t="s">
        <v>32</v>
      </c>
      <c r="P71" s="4" t="s">
        <v>33</v>
      </c>
      <c r="Q71" s="4" t="s">
        <v>34</v>
      </c>
      <c r="R71" s="4" t="s">
        <v>615</v>
      </c>
      <c r="S71" s="4" t="s">
        <v>616</v>
      </c>
      <c r="T71" s="4" t="s">
        <v>413</v>
      </c>
      <c r="U71" s="4" t="s">
        <v>617</v>
      </c>
      <c r="V71" s="4" t="s">
        <v>39</v>
      </c>
      <c r="W71" s="4" t="s">
        <v>40</v>
      </c>
      <c r="X71" s="4" t="s">
        <v>617</v>
      </c>
      <c r="Y71" s="4" t="s">
        <v>41</v>
      </c>
      <c r="Z71" s="4" t="s">
        <v>618</v>
      </c>
      <c r="AA71" s="4" t="s">
        <v>619</v>
      </c>
      <c r="AB71" s="7" t="e">
        <f t="shared" ca="1" si="5"/>
        <v>#NAME?</v>
      </c>
    </row>
    <row r="72" spans="1:28" ht="33.6" customHeight="1">
      <c r="A72" s="5">
        <v>71</v>
      </c>
      <c r="B72" s="5">
        <v>67</v>
      </c>
      <c r="C72" s="5">
        <v>71</v>
      </c>
      <c r="D72" s="5">
        <v>71</v>
      </c>
      <c r="E72" s="5">
        <v>69</v>
      </c>
      <c r="F72" s="6">
        <f t="shared" si="4"/>
        <v>3.05</v>
      </c>
      <c r="G72" s="5">
        <v>4</v>
      </c>
      <c r="H72" s="5">
        <v>3</v>
      </c>
      <c r="I72" s="5">
        <v>1</v>
      </c>
      <c r="J72" s="5">
        <v>4</v>
      </c>
      <c r="K72" s="4" t="s">
        <v>43</v>
      </c>
      <c r="L72" s="4" t="s">
        <v>620</v>
      </c>
      <c r="M72" s="4" t="s">
        <v>621</v>
      </c>
      <c r="N72" s="4" t="s">
        <v>622</v>
      </c>
      <c r="O72" s="4" t="s">
        <v>32</v>
      </c>
      <c r="P72" s="4" t="s">
        <v>623</v>
      </c>
      <c r="Q72" s="4" t="s">
        <v>34</v>
      </c>
      <c r="R72" s="4" t="s">
        <v>624</v>
      </c>
      <c r="S72" s="4" t="s">
        <v>625</v>
      </c>
      <c r="T72" s="4" t="s">
        <v>413</v>
      </c>
      <c r="U72" s="4" t="s">
        <v>626</v>
      </c>
      <c r="V72" s="4" t="s">
        <v>39</v>
      </c>
      <c r="W72" s="4" t="s">
        <v>40</v>
      </c>
      <c r="X72" s="4" t="s">
        <v>626</v>
      </c>
      <c r="Y72" s="4" t="s">
        <v>41</v>
      </c>
      <c r="Z72" s="4" t="s">
        <v>627</v>
      </c>
      <c r="AA72" s="4" t="s">
        <v>628</v>
      </c>
      <c r="AB72" s="7" t="e">
        <f t="shared" ca="1" si="5"/>
        <v>#NAME?</v>
      </c>
    </row>
    <row r="73" spans="1:28" ht="33.6" customHeight="1">
      <c r="A73" s="5">
        <v>72</v>
      </c>
      <c r="B73" s="5">
        <v>68</v>
      </c>
      <c r="C73" s="5">
        <v>72</v>
      </c>
      <c r="D73" s="5">
        <v>72</v>
      </c>
      <c r="E73" s="5">
        <v>70</v>
      </c>
      <c r="F73" s="6">
        <f t="shared" si="4"/>
        <v>3.05</v>
      </c>
      <c r="G73" s="5">
        <v>4</v>
      </c>
      <c r="H73" s="5">
        <v>3</v>
      </c>
      <c r="I73" s="5">
        <v>1</v>
      </c>
      <c r="J73" s="5">
        <v>4</v>
      </c>
      <c r="K73" s="4" t="s">
        <v>78</v>
      </c>
      <c r="L73" s="4" t="s">
        <v>629</v>
      </c>
      <c r="M73" s="4" t="s">
        <v>80</v>
      </c>
      <c r="N73" s="4" t="s">
        <v>630</v>
      </c>
      <c r="O73" s="4" t="s">
        <v>32</v>
      </c>
      <c r="P73" s="4" t="s">
        <v>468</v>
      </c>
      <c r="Q73" s="4" t="s">
        <v>34</v>
      </c>
      <c r="R73" s="4" t="s">
        <v>631</v>
      </c>
      <c r="S73" s="4" t="s">
        <v>632</v>
      </c>
      <c r="T73" s="4" t="s">
        <v>413</v>
      </c>
      <c r="U73" s="4" t="s">
        <v>633</v>
      </c>
      <c r="V73" s="4" t="s">
        <v>39</v>
      </c>
      <c r="W73" s="4" t="s">
        <v>40</v>
      </c>
      <c r="X73" s="4" t="s">
        <v>633</v>
      </c>
      <c r="Y73" s="4" t="s">
        <v>41</v>
      </c>
      <c r="Z73" s="4" t="s">
        <v>634</v>
      </c>
      <c r="AA73" s="4" t="s">
        <v>473</v>
      </c>
      <c r="AB73" s="7" t="e">
        <f t="shared" ca="1" si="5"/>
        <v>#NAME?</v>
      </c>
    </row>
    <row r="74" spans="1:28" ht="33.6" customHeight="1">
      <c r="A74" s="5">
        <v>73</v>
      </c>
      <c r="B74" s="5">
        <v>69</v>
      </c>
      <c r="C74" s="5">
        <v>73</v>
      </c>
      <c r="D74" s="5">
        <v>73</v>
      </c>
      <c r="E74" s="5">
        <v>71</v>
      </c>
      <c r="F74" s="6">
        <f t="shared" si="4"/>
        <v>3.05</v>
      </c>
      <c r="G74" s="5">
        <v>4</v>
      </c>
      <c r="H74" s="5">
        <v>3</v>
      </c>
      <c r="I74" s="5">
        <v>1</v>
      </c>
      <c r="J74" s="5">
        <v>4</v>
      </c>
      <c r="K74" s="4" t="s">
        <v>390</v>
      </c>
      <c r="L74" s="4" t="s">
        <v>635</v>
      </c>
      <c r="M74" s="4" t="s">
        <v>636</v>
      </c>
      <c r="N74" s="4" t="s">
        <v>637</v>
      </c>
      <c r="O74" s="4" t="s">
        <v>32</v>
      </c>
      <c r="P74" s="4" t="s">
        <v>638</v>
      </c>
      <c r="Q74" s="4" t="s">
        <v>34</v>
      </c>
      <c r="R74" s="4" t="s">
        <v>639</v>
      </c>
      <c r="S74" s="4" t="s">
        <v>640</v>
      </c>
      <c r="T74" s="4" t="s">
        <v>413</v>
      </c>
      <c r="U74" s="4" t="s">
        <v>641</v>
      </c>
      <c r="V74" s="4" t="s">
        <v>39</v>
      </c>
      <c r="W74" s="4" t="s">
        <v>40</v>
      </c>
      <c r="X74" s="4" t="s">
        <v>641</v>
      </c>
      <c r="Y74" s="4" t="s">
        <v>41</v>
      </c>
      <c r="Z74" s="4" t="s">
        <v>642</v>
      </c>
      <c r="AA74" s="4" t="s">
        <v>643</v>
      </c>
      <c r="AB74" s="7" t="e">
        <f t="shared" ca="1" si="5"/>
        <v>#NAME?</v>
      </c>
    </row>
    <row r="75" spans="1:28" ht="33.6" customHeight="1">
      <c r="A75" s="5">
        <v>74</v>
      </c>
      <c r="B75" s="5">
        <v>70</v>
      </c>
      <c r="C75" s="5">
        <v>74</v>
      </c>
      <c r="D75" s="5">
        <v>74</v>
      </c>
      <c r="E75" s="5">
        <v>72</v>
      </c>
      <c r="F75" s="6">
        <f t="shared" si="4"/>
        <v>3.05</v>
      </c>
      <c r="G75" s="5">
        <v>4</v>
      </c>
      <c r="H75" s="5">
        <v>3</v>
      </c>
      <c r="I75" s="5">
        <v>1</v>
      </c>
      <c r="J75" s="5">
        <v>4</v>
      </c>
      <c r="K75" s="4" t="s">
        <v>464</v>
      </c>
      <c r="L75" s="4" t="s">
        <v>644</v>
      </c>
      <c r="M75" s="4" t="s">
        <v>501</v>
      </c>
      <c r="N75" s="4" t="s">
        <v>645</v>
      </c>
      <c r="O75" s="4" t="s">
        <v>32</v>
      </c>
      <c r="P75" s="4" t="s">
        <v>468</v>
      </c>
      <c r="Q75" s="4" t="s">
        <v>34</v>
      </c>
      <c r="R75" s="4" t="s">
        <v>646</v>
      </c>
      <c r="S75" s="4" t="s">
        <v>647</v>
      </c>
      <c r="T75" s="4" t="s">
        <v>413</v>
      </c>
      <c r="U75" s="4" t="s">
        <v>648</v>
      </c>
      <c r="V75" s="4" t="s">
        <v>39</v>
      </c>
      <c r="W75" s="4" t="s">
        <v>40</v>
      </c>
      <c r="X75" s="4" t="s">
        <v>648</v>
      </c>
      <c r="Y75" s="4" t="s">
        <v>41</v>
      </c>
      <c r="Z75" s="4" t="s">
        <v>649</v>
      </c>
      <c r="AA75" s="4" t="s">
        <v>473</v>
      </c>
      <c r="AB75" s="7" t="e">
        <f t="shared" ca="1" si="5"/>
        <v>#NAME?</v>
      </c>
    </row>
    <row r="76" spans="1:28" ht="33.6" customHeight="1">
      <c r="A76" s="5">
        <v>75</v>
      </c>
      <c r="B76" s="5">
        <v>71</v>
      </c>
      <c r="C76" s="5">
        <v>75</v>
      </c>
      <c r="D76" s="5">
        <v>75</v>
      </c>
      <c r="E76" s="5">
        <v>73</v>
      </c>
      <c r="F76" s="6">
        <f t="shared" si="4"/>
        <v>3.05</v>
      </c>
      <c r="G76" s="5">
        <v>4</v>
      </c>
      <c r="H76" s="5">
        <v>3</v>
      </c>
      <c r="I76" s="5">
        <v>1</v>
      </c>
      <c r="J76" s="5">
        <v>4</v>
      </c>
      <c r="K76" s="4" t="s">
        <v>28</v>
      </c>
      <c r="L76" s="4" t="s">
        <v>650</v>
      </c>
      <c r="M76" s="4" t="s">
        <v>651</v>
      </c>
      <c r="N76" s="4" t="s">
        <v>652</v>
      </c>
      <c r="O76" s="4" t="s">
        <v>32</v>
      </c>
      <c r="P76" s="4" t="s">
        <v>33</v>
      </c>
      <c r="Q76" s="4" t="s">
        <v>34</v>
      </c>
      <c r="R76" s="4" t="s">
        <v>653</v>
      </c>
      <c r="S76" s="4" t="s">
        <v>654</v>
      </c>
      <c r="T76" s="4" t="s">
        <v>413</v>
      </c>
      <c r="U76" s="4" t="s">
        <v>655</v>
      </c>
      <c r="V76" s="4" t="s">
        <v>39</v>
      </c>
      <c r="W76" s="4" t="s">
        <v>40</v>
      </c>
      <c r="X76" s="4" t="s">
        <v>655</v>
      </c>
      <c r="Y76" s="4" t="s">
        <v>41</v>
      </c>
      <c r="Z76" s="4" t="s">
        <v>656</v>
      </c>
      <c r="AA76" s="4" t="s">
        <v>657</v>
      </c>
      <c r="AB76" s="7" t="e">
        <f t="shared" ca="1" si="5"/>
        <v>#NAME?</v>
      </c>
    </row>
    <row r="77" spans="1:28" ht="33.6" customHeight="1">
      <c r="A77" s="5">
        <v>76</v>
      </c>
      <c r="B77" s="5">
        <v>72</v>
      </c>
      <c r="C77" s="5">
        <v>76</v>
      </c>
      <c r="D77" s="5">
        <v>76</v>
      </c>
      <c r="E77" s="5">
        <v>74</v>
      </c>
      <c r="F77" s="6">
        <f t="shared" si="4"/>
        <v>3.05</v>
      </c>
      <c r="G77" s="5">
        <v>4</v>
      </c>
      <c r="H77" s="5">
        <v>3</v>
      </c>
      <c r="I77" s="5">
        <v>1</v>
      </c>
      <c r="J77" s="5">
        <v>4</v>
      </c>
      <c r="K77" s="4" t="s">
        <v>43</v>
      </c>
      <c r="L77" s="4" t="s">
        <v>658</v>
      </c>
      <c r="M77" s="4" t="s">
        <v>659</v>
      </c>
      <c r="N77" s="4" t="s">
        <v>660</v>
      </c>
      <c r="O77" s="4" t="s">
        <v>32</v>
      </c>
      <c r="P77" s="4" t="s">
        <v>661</v>
      </c>
      <c r="Q77" s="4" t="s">
        <v>34</v>
      </c>
      <c r="R77" s="4" t="s">
        <v>662</v>
      </c>
      <c r="S77" s="4" t="s">
        <v>663</v>
      </c>
      <c r="T77" s="4" t="s">
        <v>413</v>
      </c>
      <c r="U77" s="4" t="s">
        <v>664</v>
      </c>
      <c r="V77" s="4" t="s">
        <v>39</v>
      </c>
      <c r="W77" s="4" t="s">
        <v>40</v>
      </c>
      <c r="X77" s="4" t="s">
        <v>664</v>
      </c>
      <c r="Y77" s="4" t="s">
        <v>41</v>
      </c>
      <c r="Z77" s="4" t="s">
        <v>665</v>
      </c>
      <c r="AA77" s="4" t="s">
        <v>666</v>
      </c>
      <c r="AB77" s="7" t="e">
        <f t="shared" ca="1" si="5"/>
        <v>#NAME?</v>
      </c>
    </row>
    <row r="78" spans="1:28" ht="33.6" customHeight="1">
      <c r="A78" s="5">
        <v>77</v>
      </c>
      <c r="B78" s="5">
        <v>73</v>
      </c>
      <c r="C78" s="5">
        <v>77</v>
      </c>
      <c r="D78" s="5">
        <v>77</v>
      </c>
      <c r="E78" s="5">
        <v>75</v>
      </c>
      <c r="F78" s="6">
        <f t="shared" si="4"/>
        <v>3.05</v>
      </c>
      <c r="G78" s="5">
        <v>4</v>
      </c>
      <c r="H78" s="5">
        <v>3</v>
      </c>
      <c r="I78" s="5">
        <v>1</v>
      </c>
      <c r="J78" s="5">
        <v>4</v>
      </c>
      <c r="K78" s="4" t="s">
        <v>78</v>
      </c>
      <c r="L78" s="4" t="s">
        <v>667</v>
      </c>
      <c r="M78" s="4" t="s">
        <v>668</v>
      </c>
      <c r="N78" s="4" t="s">
        <v>669</v>
      </c>
      <c r="O78" s="4" t="s">
        <v>32</v>
      </c>
      <c r="P78" s="4" t="s">
        <v>670</v>
      </c>
      <c r="Q78" s="4" t="s">
        <v>34</v>
      </c>
      <c r="R78" s="4" t="s">
        <v>671</v>
      </c>
      <c r="S78" s="4" t="s">
        <v>672</v>
      </c>
      <c r="T78" s="4" t="s">
        <v>413</v>
      </c>
      <c r="U78" s="4" t="s">
        <v>673</v>
      </c>
      <c r="V78" s="4" t="s">
        <v>39</v>
      </c>
      <c r="W78" s="4" t="s">
        <v>40</v>
      </c>
      <c r="X78" s="4" t="s">
        <v>673</v>
      </c>
      <c r="Y78" s="4" t="s">
        <v>41</v>
      </c>
      <c r="Z78" s="4" t="s">
        <v>674</v>
      </c>
      <c r="AA78" s="4" t="s">
        <v>675</v>
      </c>
      <c r="AB78" s="7" t="e">
        <f t="shared" ca="1" si="5"/>
        <v>#NAME?</v>
      </c>
    </row>
    <row r="79" spans="1:28" ht="33.6" customHeight="1">
      <c r="A79" s="5">
        <v>78</v>
      </c>
      <c r="B79" s="5">
        <v>74</v>
      </c>
      <c r="C79" s="5">
        <v>78</v>
      </c>
      <c r="D79" s="5">
        <v>78</v>
      </c>
      <c r="E79" s="5">
        <v>76</v>
      </c>
      <c r="F79" s="6">
        <f t="shared" si="4"/>
        <v>3.05</v>
      </c>
      <c r="G79" s="5">
        <v>4</v>
      </c>
      <c r="H79" s="5">
        <v>3</v>
      </c>
      <c r="I79" s="5">
        <v>1</v>
      </c>
      <c r="J79" s="5">
        <v>4</v>
      </c>
      <c r="K79" s="4" t="s">
        <v>28</v>
      </c>
      <c r="L79" s="4" t="s">
        <v>676</v>
      </c>
      <c r="M79" s="4" t="s">
        <v>677</v>
      </c>
      <c r="N79" s="4" t="s">
        <v>678</v>
      </c>
      <c r="O79" s="4" t="s">
        <v>32</v>
      </c>
      <c r="P79" s="4" t="s">
        <v>33</v>
      </c>
      <c r="Q79" s="4" t="s">
        <v>34</v>
      </c>
      <c r="R79" s="4" t="s">
        <v>679</v>
      </c>
      <c r="S79" s="4" t="s">
        <v>680</v>
      </c>
      <c r="T79" s="4" t="s">
        <v>413</v>
      </c>
      <c r="U79" s="4" t="s">
        <v>681</v>
      </c>
      <c r="V79" s="4" t="s">
        <v>39</v>
      </c>
      <c r="W79" s="4" t="s">
        <v>40</v>
      </c>
      <c r="X79" s="4" t="s">
        <v>681</v>
      </c>
      <c r="Y79" s="4" t="s">
        <v>41</v>
      </c>
      <c r="Z79" s="4" t="s">
        <v>682</v>
      </c>
      <c r="AA79" s="4" t="s">
        <v>683</v>
      </c>
      <c r="AB79" s="7" t="e">
        <f t="shared" ca="1" si="5"/>
        <v>#NAME?</v>
      </c>
    </row>
    <row r="80" spans="1:28" ht="33.6" customHeight="1">
      <c r="A80" s="5">
        <v>79</v>
      </c>
      <c r="B80" s="5">
        <v>75</v>
      </c>
      <c r="C80" s="5">
        <v>79</v>
      </c>
      <c r="D80" s="5">
        <v>79</v>
      </c>
      <c r="E80" s="5">
        <v>77</v>
      </c>
      <c r="F80" s="6">
        <f t="shared" si="4"/>
        <v>3.05</v>
      </c>
      <c r="G80" s="5">
        <v>4</v>
      </c>
      <c r="H80" s="5">
        <v>3</v>
      </c>
      <c r="I80" s="5">
        <v>1</v>
      </c>
      <c r="J80" s="5">
        <v>4</v>
      </c>
      <c r="K80" s="4" t="s">
        <v>28</v>
      </c>
      <c r="L80" s="4" t="s">
        <v>684</v>
      </c>
      <c r="M80" s="4" t="s">
        <v>685</v>
      </c>
      <c r="N80" s="4" t="s">
        <v>686</v>
      </c>
      <c r="O80" s="4" t="s">
        <v>32</v>
      </c>
      <c r="P80" s="4" t="s">
        <v>33</v>
      </c>
      <c r="Q80" s="4" t="s">
        <v>34</v>
      </c>
      <c r="R80" s="4" t="s">
        <v>687</v>
      </c>
      <c r="S80" s="4" t="s">
        <v>688</v>
      </c>
      <c r="T80" s="4" t="s">
        <v>413</v>
      </c>
      <c r="U80" s="4" t="s">
        <v>689</v>
      </c>
      <c r="V80" s="4" t="s">
        <v>39</v>
      </c>
      <c r="W80" s="4" t="s">
        <v>40</v>
      </c>
      <c r="X80" s="4" t="s">
        <v>689</v>
      </c>
      <c r="Y80" s="4" t="s">
        <v>41</v>
      </c>
      <c r="Z80" s="4" t="s">
        <v>690</v>
      </c>
      <c r="AA80" s="4" t="s">
        <v>691</v>
      </c>
      <c r="AB80" s="7" t="e">
        <f t="shared" ca="1" si="5"/>
        <v>#NAME?</v>
      </c>
    </row>
    <row r="81" spans="1:28" ht="33.6" customHeight="1">
      <c r="A81" s="5">
        <v>80</v>
      </c>
      <c r="B81" s="5">
        <v>76</v>
      </c>
      <c r="C81" s="5">
        <v>80</v>
      </c>
      <c r="D81" s="5">
        <v>80</v>
      </c>
      <c r="E81" s="5">
        <v>78</v>
      </c>
      <c r="F81" s="6">
        <f t="shared" si="4"/>
        <v>3.05</v>
      </c>
      <c r="G81" s="5">
        <v>4</v>
      </c>
      <c r="H81" s="5">
        <v>3</v>
      </c>
      <c r="I81" s="5">
        <v>1</v>
      </c>
      <c r="J81" s="5">
        <v>4</v>
      </c>
      <c r="K81" s="4" t="s">
        <v>78</v>
      </c>
      <c r="L81" s="4" t="s">
        <v>692</v>
      </c>
      <c r="M81" s="4" t="s">
        <v>693</v>
      </c>
      <c r="N81" s="4" t="s">
        <v>694</v>
      </c>
      <c r="O81" s="4" t="s">
        <v>32</v>
      </c>
      <c r="P81" s="4" t="s">
        <v>695</v>
      </c>
      <c r="Q81" s="4" t="s">
        <v>34</v>
      </c>
      <c r="R81" s="4" t="s">
        <v>696</v>
      </c>
      <c r="S81" s="4" t="s">
        <v>697</v>
      </c>
      <c r="T81" s="4" t="s">
        <v>413</v>
      </c>
      <c r="U81" s="4" t="s">
        <v>698</v>
      </c>
      <c r="V81" s="4" t="s">
        <v>39</v>
      </c>
      <c r="W81" s="4" t="s">
        <v>40</v>
      </c>
      <c r="X81" s="4" t="s">
        <v>698</v>
      </c>
      <c r="Y81" s="4" t="s">
        <v>41</v>
      </c>
      <c r="Z81" s="4" t="s">
        <v>699</v>
      </c>
      <c r="AA81" s="4" t="s">
        <v>87</v>
      </c>
      <c r="AB81" s="7" t="e">
        <f t="shared" ca="1" si="5"/>
        <v>#NAME?</v>
      </c>
    </row>
    <row r="82" spans="1:28" ht="33.6" customHeight="1">
      <c r="A82" s="5">
        <v>81</v>
      </c>
      <c r="B82" s="5">
        <v>77</v>
      </c>
      <c r="C82" s="5">
        <v>81</v>
      </c>
      <c r="D82" s="5">
        <v>81</v>
      </c>
      <c r="E82" s="5">
        <v>79</v>
      </c>
      <c r="F82" s="6">
        <f t="shared" si="4"/>
        <v>3.05</v>
      </c>
      <c r="G82" s="5">
        <v>4</v>
      </c>
      <c r="H82" s="5">
        <v>3</v>
      </c>
      <c r="I82" s="5">
        <v>1</v>
      </c>
      <c r="J82" s="5">
        <v>4</v>
      </c>
      <c r="K82" s="4" t="s">
        <v>78</v>
      </c>
      <c r="L82" s="4" t="s">
        <v>700</v>
      </c>
      <c r="M82" s="4" t="s">
        <v>587</v>
      </c>
      <c r="N82" s="4" t="s">
        <v>701</v>
      </c>
      <c r="O82" s="4" t="s">
        <v>32</v>
      </c>
      <c r="P82" s="4" t="s">
        <v>702</v>
      </c>
      <c r="Q82" s="4" t="s">
        <v>34</v>
      </c>
      <c r="R82" s="4" t="s">
        <v>703</v>
      </c>
      <c r="S82" s="4" t="s">
        <v>704</v>
      </c>
      <c r="T82" s="4" t="s">
        <v>413</v>
      </c>
      <c r="U82" s="4" t="s">
        <v>705</v>
      </c>
      <c r="V82" s="4" t="s">
        <v>39</v>
      </c>
      <c r="W82" s="4" t="s">
        <v>40</v>
      </c>
      <c r="X82" s="4" t="s">
        <v>705</v>
      </c>
      <c r="Y82" s="4" t="s">
        <v>41</v>
      </c>
      <c r="Z82" s="4" t="s">
        <v>706</v>
      </c>
      <c r="AA82" s="4" t="s">
        <v>707</v>
      </c>
      <c r="AB82" s="7" t="e">
        <f t="shared" ca="1" si="5"/>
        <v>#NAME?</v>
      </c>
    </row>
    <row r="83" spans="1:28" ht="33.6" customHeight="1">
      <c r="A83" s="5">
        <v>82</v>
      </c>
      <c r="B83" s="5">
        <v>78</v>
      </c>
      <c r="C83" s="5">
        <v>82</v>
      </c>
      <c r="D83" s="5">
        <v>82</v>
      </c>
      <c r="E83" s="5">
        <v>80</v>
      </c>
      <c r="F83" s="6">
        <f t="shared" si="4"/>
        <v>3.05</v>
      </c>
      <c r="G83" s="5">
        <v>4</v>
      </c>
      <c r="H83" s="5">
        <v>3</v>
      </c>
      <c r="I83" s="5">
        <v>1</v>
      </c>
      <c r="J83" s="5">
        <v>4</v>
      </c>
      <c r="K83" s="4" t="s">
        <v>28</v>
      </c>
      <c r="L83" s="4" t="s">
        <v>708</v>
      </c>
      <c r="M83" s="4" t="s">
        <v>709</v>
      </c>
      <c r="N83" s="4" t="s">
        <v>710</v>
      </c>
      <c r="O83" s="4" t="s">
        <v>32</v>
      </c>
      <c r="P83" s="4" t="s">
        <v>33</v>
      </c>
      <c r="Q83" s="4" t="s">
        <v>34</v>
      </c>
      <c r="R83" s="4" t="s">
        <v>711</v>
      </c>
      <c r="S83" s="4" t="s">
        <v>712</v>
      </c>
      <c r="T83" s="4" t="s">
        <v>413</v>
      </c>
      <c r="U83" s="4" t="s">
        <v>713</v>
      </c>
      <c r="V83" s="4" t="s">
        <v>39</v>
      </c>
      <c r="W83" s="4" t="s">
        <v>40</v>
      </c>
      <c r="X83" s="4" t="s">
        <v>713</v>
      </c>
      <c r="Y83" s="4" t="s">
        <v>41</v>
      </c>
      <c r="Z83" s="4" t="s">
        <v>714</v>
      </c>
      <c r="AA83" s="4" t="s">
        <v>715</v>
      </c>
      <c r="AB83" s="7" t="e">
        <f t="shared" ca="1" si="5"/>
        <v>#NAME?</v>
      </c>
    </row>
    <row r="84" spans="1:28" ht="33.6" customHeight="1">
      <c r="A84" s="5">
        <v>83</v>
      </c>
      <c r="B84" s="5">
        <v>79</v>
      </c>
      <c r="C84" s="5">
        <v>83</v>
      </c>
      <c r="D84" s="5">
        <v>83</v>
      </c>
      <c r="E84" s="5">
        <v>81</v>
      </c>
      <c r="F84" s="6">
        <f t="shared" si="4"/>
        <v>3.05</v>
      </c>
      <c r="G84" s="5">
        <v>4</v>
      </c>
      <c r="H84" s="5">
        <v>3</v>
      </c>
      <c r="I84" s="5">
        <v>1</v>
      </c>
      <c r="J84" s="5">
        <v>4</v>
      </c>
      <c r="K84" s="4" t="s">
        <v>28</v>
      </c>
      <c r="L84" s="4" t="s">
        <v>716</v>
      </c>
      <c r="M84" s="4" t="s">
        <v>213</v>
      </c>
      <c r="N84" s="4" t="s">
        <v>717</v>
      </c>
      <c r="O84" s="4" t="s">
        <v>32</v>
      </c>
      <c r="P84" s="4" t="s">
        <v>394</v>
      </c>
      <c r="Q84" s="4" t="s">
        <v>34</v>
      </c>
      <c r="R84" s="4" t="s">
        <v>718</v>
      </c>
      <c r="S84" s="4" t="s">
        <v>719</v>
      </c>
      <c r="T84" s="4" t="s">
        <v>413</v>
      </c>
      <c r="U84" s="4" t="s">
        <v>720</v>
      </c>
      <c r="V84" s="4" t="s">
        <v>39</v>
      </c>
      <c r="W84" s="4" t="s">
        <v>40</v>
      </c>
      <c r="X84" s="4" t="s">
        <v>720</v>
      </c>
      <c r="Y84" s="4" t="s">
        <v>41</v>
      </c>
      <c r="Z84" s="4" t="s">
        <v>721</v>
      </c>
      <c r="AA84" s="4" t="s">
        <v>722</v>
      </c>
      <c r="AB84" s="7" t="e">
        <f t="shared" ca="1" si="5"/>
        <v>#NAME?</v>
      </c>
    </row>
    <row r="85" spans="1:28" ht="33.6" customHeight="1">
      <c r="A85" s="5">
        <v>84</v>
      </c>
      <c r="B85" s="5">
        <v>80</v>
      </c>
      <c r="C85" s="5">
        <v>84</v>
      </c>
      <c r="D85" s="5">
        <v>84</v>
      </c>
      <c r="E85" s="5">
        <v>82</v>
      </c>
      <c r="F85" s="6">
        <f t="shared" si="4"/>
        <v>3.05</v>
      </c>
      <c r="G85" s="5">
        <v>4</v>
      </c>
      <c r="H85" s="5">
        <v>3</v>
      </c>
      <c r="I85" s="5">
        <v>1</v>
      </c>
      <c r="J85" s="5">
        <v>4</v>
      </c>
      <c r="K85" s="4" t="s">
        <v>28</v>
      </c>
      <c r="L85" s="4" t="s">
        <v>723</v>
      </c>
      <c r="M85" s="4" t="s">
        <v>724</v>
      </c>
      <c r="N85" s="4" t="s">
        <v>725</v>
      </c>
      <c r="O85" s="4" t="s">
        <v>32</v>
      </c>
      <c r="P85" s="4" t="s">
        <v>33</v>
      </c>
      <c r="Q85" s="4" t="s">
        <v>34</v>
      </c>
      <c r="R85" s="4" t="s">
        <v>726</v>
      </c>
      <c r="S85" s="4" t="s">
        <v>727</v>
      </c>
      <c r="T85" s="4" t="s">
        <v>413</v>
      </c>
      <c r="U85" s="4" t="s">
        <v>728</v>
      </c>
      <c r="V85" s="4" t="s">
        <v>39</v>
      </c>
      <c r="W85" s="4" t="s">
        <v>40</v>
      </c>
      <c r="X85" s="4" t="s">
        <v>728</v>
      </c>
      <c r="Y85" s="4" t="s">
        <v>41</v>
      </c>
      <c r="Z85" s="4" t="s">
        <v>729</v>
      </c>
      <c r="AA85" s="4" t="s">
        <v>730</v>
      </c>
      <c r="AB85" s="7" t="e">
        <f t="shared" ca="1" si="5"/>
        <v>#NAME?</v>
      </c>
    </row>
    <row r="86" spans="1:28" ht="33.6" customHeight="1">
      <c r="A86" s="5">
        <v>85</v>
      </c>
      <c r="B86" s="5">
        <v>81</v>
      </c>
      <c r="C86" s="5">
        <v>85</v>
      </c>
      <c r="D86" s="5">
        <v>85</v>
      </c>
      <c r="E86" s="5">
        <v>83</v>
      </c>
      <c r="F86" s="6">
        <f t="shared" si="4"/>
        <v>3.05</v>
      </c>
      <c r="G86" s="5">
        <v>4</v>
      </c>
      <c r="H86" s="5">
        <v>3</v>
      </c>
      <c r="I86" s="5">
        <v>1</v>
      </c>
      <c r="J86" s="5">
        <v>4</v>
      </c>
      <c r="K86" s="4" t="s">
        <v>28</v>
      </c>
      <c r="L86" s="4" t="s">
        <v>731</v>
      </c>
      <c r="M86" s="4" t="s">
        <v>189</v>
      </c>
      <c r="N86" s="4" t="s">
        <v>732</v>
      </c>
      <c r="O86" s="4" t="s">
        <v>32</v>
      </c>
      <c r="P86" s="4" t="s">
        <v>33</v>
      </c>
      <c r="Q86" s="4" t="s">
        <v>34</v>
      </c>
      <c r="R86" s="4" t="s">
        <v>733</v>
      </c>
      <c r="S86" s="4" t="s">
        <v>734</v>
      </c>
      <c r="T86" s="4" t="s">
        <v>413</v>
      </c>
      <c r="U86" s="4" t="s">
        <v>735</v>
      </c>
      <c r="V86" s="4" t="s">
        <v>39</v>
      </c>
      <c r="W86" s="4" t="s">
        <v>40</v>
      </c>
      <c r="X86" s="4" t="s">
        <v>735</v>
      </c>
      <c r="Y86" s="4" t="s">
        <v>41</v>
      </c>
      <c r="Z86" s="4" t="s">
        <v>736</v>
      </c>
      <c r="AA86" s="4" t="s">
        <v>737</v>
      </c>
      <c r="AB86" s="7" t="e">
        <f t="shared" ca="1" si="5"/>
        <v>#NAME?</v>
      </c>
    </row>
    <row r="87" spans="1:28" ht="33.6" customHeight="1">
      <c r="A87" s="5">
        <v>86</v>
      </c>
      <c r="B87" s="5">
        <v>82</v>
      </c>
      <c r="C87" s="5">
        <v>86</v>
      </c>
      <c r="D87" s="5">
        <v>86</v>
      </c>
      <c r="E87" s="5">
        <v>84</v>
      </c>
      <c r="F87" s="6">
        <f t="shared" si="4"/>
        <v>3.05</v>
      </c>
      <c r="G87" s="5">
        <v>4</v>
      </c>
      <c r="H87" s="5">
        <v>3</v>
      </c>
      <c r="I87" s="5">
        <v>1</v>
      </c>
      <c r="J87" s="5">
        <v>4</v>
      </c>
      <c r="K87" s="4" t="s">
        <v>28</v>
      </c>
      <c r="L87" s="4" t="s">
        <v>738</v>
      </c>
      <c r="M87" s="4" t="s">
        <v>739</v>
      </c>
      <c r="N87" s="4" t="s">
        <v>740</v>
      </c>
      <c r="O87" s="4" t="s">
        <v>32</v>
      </c>
      <c r="P87" s="4" t="s">
        <v>33</v>
      </c>
      <c r="Q87" s="4" t="s">
        <v>34</v>
      </c>
      <c r="R87" s="4" t="s">
        <v>741</v>
      </c>
      <c r="S87" s="4" t="s">
        <v>742</v>
      </c>
      <c r="T87" s="4" t="s">
        <v>413</v>
      </c>
      <c r="U87" s="4" t="s">
        <v>743</v>
      </c>
      <c r="V87" s="4" t="s">
        <v>39</v>
      </c>
      <c r="W87" s="4" t="s">
        <v>40</v>
      </c>
      <c r="X87" s="4" t="s">
        <v>743</v>
      </c>
      <c r="Y87" s="4" t="s">
        <v>41</v>
      </c>
      <c r="Z87" s="4" t="s">
        <v>744</v>
      </c>
      <c r="AA87" s="4" t="s">
        <v>745</v>
      </c>
      <c r="AB87" s="7" t="e">
        <f t="shared" ca="1" si="5"/>
        <v>#NAME?</v>
      </c>
    </row>
    <row r="88" spans="1:28" ht="33.6" customHeight="1">
      <c r="A88" s="5">
        <v>87</v>
      </c>
      <c r="B88" s="5">
        <v>83</v>
      </c>
      <c r="C88" s="5">
        <v>87</v>
      </c>
      <c r="D88" s="5">
        <v>87</v>
      </c>
      <c r="E88" s="5">
        <v>85</v>
      </c>
      <c r="F88" s="6">
        <f t="shared" si="4"/>
        <v>3.05</v>
      </c>
      <c r="G88" s="5">
        <v>4</v>
      </c>
      <c r="H88" s="5">
        <v>3</v>
      </c>
      <c r="I88" s="5">
        <v>1</v>
      </c>
      <c r="J88" s="5">
        <v>4</v>
      </c>
      <c r="K88" s="4" t="s">
        <v>237</v>
      </c>
      <c r="L88" s="4" t="s">
        <v>746</v>
      </c>
      <c r="M88" s="4" t="s">
        <v>747</v>
      </c>
      <c r="N88" s="4" t="s">
        <v>748</v>
      </c>
      <c r="O88" s="4" t="s">
        <v>32</v>
      </c>
      <c r="P88" s="4" t="s">
        <v>749</v>
      </c>
      <c r="Q88" s="4" t="s">
        <v>34</v>
      </c>
      <c r="R88" s="4" t="s">
        <v>750</v>
      </c>
      <c r="S88" s="4" t="s">
        <v>751</v>
      </c>
      <c r="T88" s="4" t="s">
        <v>413</v>
      </c>
      <c r="U88" s="4" t="s">
        <v>752</v>
      </c>
      <c r="V88" s="4" t="s">
        <v>39</v>
      </c>
      <c r="W88" s="4" t="s">
        <v>40</v>
      </c>
      <c r="X88" s="4" t="s">
        <v>752</v>
      </c>
      <c r="Y88" s="4" t="s">
        <v>41</v>
      </c>
      <c r="Z88" s="4" t="s">
        <v>753</v>
      </c>
      <c r="AA88" s="4" t="s">
        <v>754</v>
      </c>
      <c r="AB88" s="7" t="e">
        <f t="shared" ca="1" si="5"/>
        <v>#NAME?</v>
      </c>
    </row>
    <row r="89" spans="1:28" ht="33.6" customHeight="1">
      <c r="A89" s="5">
        <v>88</v>
      </c>
      <c r="B89" s="5">
        <v>84</v>
      </c>
      <c r="C89" s="5">
        <v>88</v>
      </c>
      <c r="D89" s="5">
        <v>88</v>
      </c>
      <c r="E89" s="5">
        <v>86</v>
      </c>
      <c r="F89" s="6">
        <f t="shared" si="4"/>
        <v>3.05</v>
      </c>
      <c r="G89" s="5">
        <v>4</v>
      </c>
      <c r="H89" s="5">
        <v>3</v>
      </c>
      <c r="I89" s="5">
        <v>1</v>
      </c>
      <c r="J89" s="5">
        <v>4</v>
      </c>
      <c r="K89" s="4" t="s">
        <v>28</v>
      </c>
      <c r="L89" s="4" t="s">
        <v>755</v>
      </c>
      <c r="M89" s="4" t="s">
        <v>197</v>
      </c>
      <c r="N89" s="4" t="s">
        <v>756</v>
      </c>
      <c r="O89" s="4" t="s">
        <v>32</v>
      </c>
      <c r="P89" s="4" t="s">
        <v>33</v>
      </c>
      <c r="Q89" s="4" t="s">
        <v>34</v>
      </c>
      <c r="R89" s="4" t="s">
        <v>757</v>
      </c>
      <c r="S89" s="4" t="s">
        <v>758</v>
      </c>
      <c r="T89" s="4" t="s">
        <v>413</v>
      </c>
      <c r="U89" s="4" t="s">
        <v>759</v>
      </c>
      <c r="V89" s="4" t="s">
        <v>39</v>
      </c>
      <c r="W89" s="4" t="s">
        <v>40</v>
      </c>
      <c r="X89" s="4" t="s">
        <v>759</v>
      </c>
      <c r="Y89" s="4" t="s">
        <v>41</v>
      </c>
      <c r="Z89" s="4" t="s">
        <v>760</v>
      </c>
      <c r="AA89" s="4" t="s">
        <v>761</v>
      </c>
      <c r="AB89" s="7" t="e">
        <f t="shared" ca="1" si="5"/>
        <v>#NAME?</v>
      </c>
    </row>
    <row r="90" spans="1:28" ht="33.6" customHeight="1">
      <c r="A90" s="5">
        <v>89</v>
      </c>
      <c r="B90" s="5">
        <v>85</v>
      </c>
      <c r="C90" s="5">
        <v>89</v>
      </c>
      <c r="D90" s="5">
        <v>89</v>
      </c>
      <c r="E90" s="5">
        <v>87</v>
      </c>
      <c r="F90" s="6">
        <f t="shared" si="4"/>
        <v>3.05</v>
      </c>
      <c r="G90" s="5">
        <v>4</v>
      </c>
      <c r="H90" s="5">
        <v>3</v>
      </c>
      <c r="I90" s="5">
        <v>1</v>
      </c>
      <c r="J90" s="5">
        <v>4</v>
      </c>
      <c r="K90" s="4" t="s">
        <v>28</v>
      </c>
      <c r="L90" s="4" t="s">
        <v>762</v>
      </c>
      <c r="M90" s="4" t="s">
        <v>763</v>
      </c>
      <c r="N90" s="4" t="s">
        <v>764</v>
      </c>
      <c r="O90" s="4" t="s">
        <v>32</v>
      </c>
      <c r="P90" s="4" t="s">
        <v>33</v>
      </c>
      <c r="Q90" s="4" t="s">
        <v>34</v>
      </c>
      <c r="R90" s="4" t="s">
        <v>765</v>
      </c>
      <c r="S90" s="4" t="s">
        <v>766</v>
      </c>
      <c r="T90" s="4" t="s">
        <v>413</v>
      </c>
      <c r="U90" s="4" t="s">
        <v>767</v>
      </c>
      <c r="V90" s="4" t="s">
        <v>39</v>
      </c>
      <c r="W90" s="4" t="s">
        <v>40</v>
      </c>
      <c r="X90" s="4" t="s">
        <v>767</v>
      </c>
      <c r="Y90" s="4" t="s">
        <v>41</v>
      </c>
      <c r="Z90" s="4" t="s">
        <v>768</v>
      </c>
      <c r="AA90" s="4" t="s">
        <v>769</v>
      </c>
      <c r="AB90" s="7" t="e">
        <f t="shared" ca="1" si="5"/>
        <v>#NAME?</v>
      </c>
    </row>
    <row r="91" spans="1:28" ht="33.6" customHeight="1">
      <c r="A91" s="5">
        <v>90</v>
      </c>
      <c r="B91" s="5">
        <v>86</v>
      </c>
      <c r="C91" s="5">
        <v>90</v>
      </c>
      <c r="D91" s="5">
        <v>90</v>
      </c>
      <c r="E91" s="5">
        <v>88</v>
      </c>
      <c r="F91" s="6">
        <f t="shared" si="4"/>
        <v>3.05</v>
      </c>
      <c r="G91" s="5">
        <v>4</v>
      </c>
      <c r="H91" s="5">
        <v>3</v>
      </c>
      <c r="I91" s="5">
        <v>1</v>
      </c>
      <c r="J91" s="5">
        <v>4</v>
      </c>
      <c r="K91" s="4" t="s">
        <v>43</v>
      </c>
      <c r="L91" s="4" t="s">
        <v>770</v>
      </c>
      <c r="M91" s="4" t="s">
        <v>180</v>
      </c>
      <c r="N91" s="4" t="s">
        <v>771</v>
      </c>
      <c r="O91" s="4" t="s">
        <v>32</v>
      </c>
      <c r="P91" s="4" t="s">
        <v>772</v>
      </c>
      <c r="Q91" s="4" t="s">
        <v>34</v>
      </c>
      <c r="R91" s="4" t="s">
        <v>773</v>
      </c>
      <c r="S91" s="4" t="s">
        <v>774</v>
      </c>
      <c r="T91" s="4" t="s">
        <v>413</v>
      </c>
      <c r="U91" s="4" t="s">
        <v>775</v>
      </c>
      <c r="V91" s="4" t="s">
        <v>39</v>
      </c>
      <c r="W91" s="4" t="s">
        <v>40</v>
      </c>
      <c r="X91" s="4" t="s">
        <v>775</v>
      </c>
      <c r="Y91" s="4" t="s">
        <v>41</v>
      </c>
      <c r="Z91" s="4" t="s">
        <v>776</v>
      </c>
      <c r="AA91" s="4" t="s">
        <v>777</v>
      </c>
      <c r="AB91" s="7" t="e">
        <f t="shared" ca="1" si="5"/>
        <v>#NAME?</v>
      </c>
    </row>
    <row r="92" spans="1:28" ht="33.6" customHeight="1">
      <c r="A92" s="5">
        <v>91</v>
      </c>
      <c r="B92" s="5">
        <v>87</v>
      </c>
      <c r="C92" s="5">
        <v>91</v>
      </c>
      <c r="D92" s="5">
        <v>91</v>
      </c>
      <c r="E92" s="5">
        <v>89</v>
      </c>
      <c r="F92" s="6">
        <f t="shared" si="4"/>
        <v>3.05</v>
      </c>
      <c r="G92" s="5">
        <v>4</v>
      </c>
      <c r="H92" s="5">
        <v>3</v>
      </c>
      <c r="I92" s="5">
        <v>1</v>
      </c>
      <c r="J92" s="5">
        <v>4</v>
      </c>
      <c r="K92" s="4" t="s">
        <v>464</v>
      </c>
      <c r="L92" s="4" t="s">
        <v>778</v>
      </c>
      <c r="M92" s="4" t="s">
        <v>45</v>
      </c>
      <c r="N92" s="4" t="s">
        <v>779</v>
      </c>
      <c r="O92" s="4" t="s">
        <v>32</v>
      </c>
      <c r="P92" s="4" t="s">
        <v>780</v>
      </c>
      <c r="Q92" s="4" t="s">
        <v>34</v>
      </c>
      <c r="R92" s="4" t="s">
        <v>781</v>
      </c>
      <c r="S92" s="4" t="s">
        <v>782</v>
      </c>
      <c r="T92" s="4" t="s">
        <v>413</v>
      </c>
      <c r="U92" s="4" t="s">
        <v>783</v>
      </c>
      <c r="V92" s="4" t="s">
        <v>39</v>
      </c>
      <c r="W92" s="4" t="s">
        <v>40</v>
      </c>
      <c r="X92" s="4" t="s">
        <v>783</v>
      </c>
      <c r="Y92" s="4" t="s">
        <v>41</v>
      </c>
      <c r="Z92" s="4" t="s">
        <v>784</v>
      </c>
      <c r="AA92" s="4" t="s">
        <v>785</v>
      </c>
      <c r="AB92" s="7" t="e">
        <f t="shared" ca="1" si="5"/>
        <v>#NAME?</v>
      </c>
    </row>
    <row r="93" spans="1:28" ht="33.6" customHeight="1">
      <c r="A93" s="5">
        <v>92</v>
      </c>
      <c r="B93" s="5">
        <v>88</v>
      </c>
      <c r="C93" s="5">
        <v>92</v>
      </c>
      <c r="D93" s="5">
        <v>92</v>
      </c>
      <c r="E93" s="5">
        <v>90</v>
      </c>
      <c r="F93" s="6">
        <f t="shared" si="4"/>
        <v>3.05</v>
      </c>
      <c r="G93" s="5">
        <v>4</v>
      </c>
      <c r="H93" s="5">
        <v>3</v>
      </c>
      <c r="I93" s="5">
        <v>1</v>
      </c>
      <c r="J93" s="5">
        <v>4</v>
      </c>
      <c r="K93" s="4" t="s">
        <v>28</v>
      </c>
      <c r="L93" s="4" t="s">
        <v>786</v>
      </c>
      <c r="M93" s="4" t="s">
        <v>739</v>
      </c>
      <c r="N93" s="4" t="s">
        <v>787</v>
      </c>
      <c r="O93" s="4" t="s">
        <v>32</v>
      </c>
      <c r="P93" s="4" t="s">
        <v>33</v>
      </c>
      <c r="Q93" s="4" t="s">
        <v>34</v>
      </c>
      <c r="R93" s="4" t="s">
        <v>788</v>
      </c>
      <c r="S93" s="4" t="s">
        <v>789</v>
      </c>
      <c r="T93" s="4" t="s">
        <v>413</v>
      </c>
      <c r="U93" s="4" t="s">
        <v>790</v>
      </c>
      <c r="V93" s="4" t="s">
        <v>39</v>
      </c>
      <c r="W93" s="4" t="s">
        <v>40</v>
      </c>
      <c r="X93" s="4" t="s">
        <v>790</v>
      </c>
      <c r="Y93" s="4" t="s">
        <v>41</v>
      </c>
      <c r="Z93" s="4" t="s">
        <v>791</v>
      </c>
      <c r="AA93" s="4" t="s">
        <v>792</v>
      </c>
      <c r="AB93" s="7" t="e">
        <f t="shared" ca="1" si="5"/>
        <v>#NAME?</v>
      </c>
    </row>
    <row r="94" spans="1:28" ht="33.6" customHeight="1">
      <c r="A94" s="5">
        <v>93</v>
      </c>
      <c r="B94" s="5">
        <v>89</v>
      </c>
      <c r="C94" s="5">
        <v>93</v>
      </c>
      <c r="D94" s="5">
        <v>93</v>
      </c>
      <c r="E94" s="5">
        <v>91</v>
      </c>
      <c r="F94" s="6">
        <f t="shared" si="4"/>
        <v>3.05</v>
      </c>
      <c r="G94" s="5">
        <v>4</v>
      </c>
      <c r="H94" s="5">
        <v>3</v>
      </c>
      <c r="I94" s="5">
        <v>1</v>
      </c>
      <c r="J94" s="5">
        <v>4</v>
      </c>
      <c r="K94" s="4" t="s">
        <v>78</v>
      </c>
      <c r="L94" s="4" t="s">
        <v>793</v>
      </c>
      <c r="M94" s="4" t="s">
        <v>794</v>
      </c>
      <c r="N94" s="4" t="s">
        <v>795</v>
      </c>
      <c r="O94" s="4" t="s">
        <v>32</v>
      </c>
      <c r="P94" s="4" t="s">
        <v>468</v>
      </c>
      <c r="Q94" s="4" t="s">
        <v>34</v>
      </c>
      <c r="R94" s="4" t="s">
        <v>796</v>
      </c>
      <c r="S94" s="4" t="s">
        <v>797</v>
      </c>
      <c r="T94" s="4" t="s">
        <v>413</v>
      </c>
      <c r="U94" s="4" t="s">
        <v>798</v>
      </c>
      <c r="V94" s="4" t="s">
        <v>39</v>
      </c>
      <c r="W94" s="4" t="s">
        <v>40</v>
      </c>
      <c r="X94" s="4" t="s">
        <v>798</v>
      </c>
      <c r="Y94" s="4" t="s">
        <v>41</v>
      </c>
      <c r="Z94" s="4" t="s">
        <v>799</v>
      </c>
      <c r="AA94" s="4" t="s">
        <v>800</v>
      </c>
      <c r="AB94" s="7" t="e">
        <f t="shared" ca="1" si="5"/>
        <v>#NAME?</v>
      </c>
    </row>
    <row r="95" spans="1:28" ht="33.6" customHeight="1">
      <c r="A95" s="5">
        <v>94</v>
      </c>
      <c r="B95" s="5">
        <v>90</v>
      </c>
      <c r="C95" s="5">
        <v>94</v>
      </c>
      <c r="D95" s="5">
        <v>94</v>
      </c>
      <c r="E95" s="5">
        <v>92</v>
      </c>
      <c r="F95" s="6">
        <f t="shared" si="4"/>
        <v>3.05</v>
      </c>
      <c r="G95" s="5">
        <v>4</v>
      </c>
      <c r="H95" s="5">
        <v>3</v>
      </c>
      <c r="I95" s="5">
        <v>1</v>
      </c>
      <c r="J95" s="5">
        <v>4</v>
      </c>
      <c r="K95" s="4" t="s">
        <v>43</v>
      </c>
      <c r="L95" s="4" t="s">
        <v>801</v>
      </c>
      <c r="M95" s="4" t="s">
        <v>802</v>
      </c>
      <c r="N95" s="4" t="s">
        <v>803</v>
      </c>
      <c r="O95" s="4" t="s">
        <v>32</v>
      </c>
      <c r="P95" s="4" t="s">
        <v>804</v>
      </c>
      <c r="Q95" s="4" t="s">
        <v>34</v>
      </c>
      <c r="R95" s="4" t="s">
        <v>805</v>
      </c>
      <c r="S95" s="4" t="s">
        <v>806</v>
      </c>
      <c r="T95" s="4" t="s">
        <v>413</v>
      </c>
      <c r="U95" s="4" t="s">
        <v>807</v>
      </c>
      <c r="V95" s="4" t="s">
        <v>39</v>
      </c>
      <c r="W95" s="4" t="s">
        <v>40</v>
      </c>
      <c r="X95" s="4" t="s">
        <v>807</v>
      </c>
      <c r="Y95" s="4" t="s">
        <v>41</v>
      </c>
      <c r="Z95" s="4" t="s">
        <v>808</v>
      </c>
      <c r="AA95" s="4" t="s">
        <v>809</v>
      </c>
      <c r="AB95" s="7" t="e">
        <f t="shared" ca="1" si="5"/>
        <v>#NAME?</v>
      </c>
    </row>
    <row r="96" spans="1:28" ht="33.6" customHeight="1">
      <c r="A96" s="5">
        <v>95</v>
      </c>
      <c r="B96" s="5">
        <v>91</v>
      </c>
      <c r="C96" s="5">
        <v>95</v>
      </c>
      <c r="D96" s="5">
        <v>95</v>
      </c>
      <c r="E96" s="5">
        <v>93</v>
      </c>
      <c r="F96" s="6">
        <f t="shared" si="4"/>
        <v>3.05</v>
      </c>
      <c r="G96" s="5">
        <v>4</v>
      </c>
      <c r="H96" s="5">
        <v>3</v>
      </c>
      <c r="I96" s="5">
        <v>1</v>
      </c>
      <c r="J96" s="5">
        <v>4</v>
      </c>
      <c r="K96" s="4" t="s">
        <v>464</v>
      </c>
      <c r="L96" s="4" t="s">
        <v>810</v>
      </c>
      <c r="M96" s="4" t="s">
        <v>811</v>
      </c>
      <c r="N96" s="4" t="s">
        <v>812</v>
      </c>
      <c r="O96" s="4" t="s">
        <v>32</v>
      </c>
      <c r="P96" s="4" t="s">
        <v>468</v>
      </c>
      <c r="Q96" s="4" t="s">
        <v>34</v>
      </c>
      <c r="R96" s="4" t="s">
        <v>813</v>
      </c>
      <c r="S96" s="4" t="s">
        <v>814</v>
      </c>
      <c r="T96" s="4" t="s">
        <v>413</v>
      </c>
      <c r="U96" s="4" t="s">
        <v>815</v>
      </c>
      <c r="V96" s="4" t="s">
        <v>39</v>
      </c>
      <c r="W96" s="4" t="s">
        <v>40</v>
      </c>
      <c r="X96" s="4" t="s">
        <v>815</v>
      </c>
      <c r="Y96" s="4" t="s">
        <v>41</v>
      </c>
      <c r="Z96" s="4" t="s">
        <v>816</v>
      </c>
      <c r="AA96" s="4" t="s">
        <v>817</v>
      </c>
      <c r="AB96" s="7" t="e">
        <f t="shared" ca="1" si="5"/>
        <v>#NAME?</v>
      </c>
    </row>
    <row r="97" spans="1:28" ht="33.6" customHeight="1">
      <c r="A97" s="5">
        <v>96</v>
      </c>
      <c r="B97" s="5">
        <v>92</v>
      </c>
      <c r="C97" s="5">
        <v>96</v>
      </c>
      <c r="D97" s="5">
        <v>96</v>
      </c>
      <c r="E97" s="5">
        <v>94</v>
      </c>
      <c r="F97" s="6">
        <f t="shared" si="4"/>
        <v>3.05</v>
      </c>
      <c r="G97" s="5">
        <v>4</v>
      </c>
      <c r="H97" s="5">
        <v>3</v>
      </c>
      <c r="I97" s="5">
        <v>1</v>
      </c>
      <c r="J97" s="5">
        <v>4</v>
      </c>
      <c r="K97" s="4" t="s">
        <v>28</v>
      </c>
      <c r="L97" s="4" t="s">
        <v>818</v>
      </c>
      <c r="M97" s="4" t="s">
        <v>819</v>
      </c>
      <c r="N97" s="4" t="s">
        <v>820</v>
      </c>
      <c r="O97" s="4" t="s">
        <v>32</v>
      </c>
      <c r="P97" s="4" t="s">
        <v>33</v>
      </c>
      <c r="Q97" s="4" t="s">
        <v>34</v>
      </c>
      <c r="R97" s="4" t="s">
        <v>821</v>
      </c>
      <c r="S97" s="4" t="s">
        <v>822</v>
      </c>
      <c r="T97" s="4" t="s">
        <v>413</v>
      </c>
      <c r="U97" s="4" t="s">
        <v>823</v>
      </c>
      <c r="V97" s="4" t="s">
        <v>39</v>
      </c>
      <c r="W97" s="4" t="s">
        <v>40</v>
      </c>
      <c r="X97" s="4" t="s">
        <v>823</v>
      </c>
      <c r="Y97" s="4" t="s">
        <v>41</v>
      </c>
      <c r="Z97" s="4" t="s">
        <v>824</v>
      </c>
      <c r="AA97" s="4" t="s">
        <v>825</v>
      </c>
      <c r="AB97" s="7" t="e">
        <f t="shared" ca="1" si="5"/>
        <v>#NAME?</v>
      </c>
    </row>
    <row r="98" spans="1:28" ht="33.6" customHeight="1">
      <c r="A98" s="5">
        <v>97</v>
      </c>
      <c r="B98" s="5">
        <v>93</v>
      </c>
      <c r="C98" s="5">
        <v>97</v>
      </c>
      <c r="D98" s="5">
        <v>97</v>
      </c>
      <c r="E98" s="5">
        <v>95</v>
      </c>
      <c r="F98" s="6">
        <f t="shared" ref="F98:F129" si="6">ROUND(0.35*G98+0.35*H98+0.2*I98+0.1*J98,2)</f>
        <v>3.05</v>
      </c>
      <c r="G98" s="5">
        <v>4</v>
      </c>
      <c r="H98" s="5">
        <v>3</v>
      </c>
      <c r="I98" s="5">
        <v>1</v>
      </c>
      <c r="J98" s="5">
        <v>4</v>
      </c>
      <c r="K98" s="4" t="s">
        <v>43</v>
      </c>
      <c r="L98" s="4" t="s">
        <v>826</v>
      </c>
      <c r="M98" s="4" t="s">
        <v>827</v>
      </c>
      <c r="N98" s="4" t="s">
        <v>828</v>
      </c>
      <c r="O98" s="4" t="s">
        <v>32</v>
      </c>
      <c r="P98" s="4" t="s">
        <v>829</v>
      </c>
      <c r="Q98" s="4" t="s">
        <v>34</v>
      </c>
      <c r="R98" s="4" t="s">
        <v>830</v>
      </c>
      <c r="S98" s="4" t="s">
        <v>831</v>
      </c>
      <c r="T98" s="4" t="s">
        <v>413</v>
      </c>
      <c r="U98" s="4" t="s">
        <v>832</v>
      </c>
      <c r="V98" s="4" t="s">
        <v>39</v>
      </c>
      <c r="W98" s="4" t="s">
        <v>40</v>
      </c>
      <c r="X98" s="4" t="s">
        <v>832</v>
      </c>
      <c r="Y98" s="4" t="s">
        <v>41</v>
      </c>
      <c r="Z98" s="4" t="s">
        <v>833</v>
      </c>
      <c r="AA98" s="4" t="s">
        <v>834</v>
      </c>
      <c r="AB98" s="7" t="e">
        <f t="shared" ref="AB98:AB129" ca="1" si="7">_xludf.IMAGE(AA98)</f>
        <v>#NAME?</v>
      </c>
    </row>
    <row r="99" spans="1:28" ht="33.6" customHeight="1">
      <c r="A99" s="5">
        <v>98</v>
      </c>
      <c r="B99" s="5">
        <v>94</v>
      </c>
      <c r="C99" s="5">
        <v>98</v>
      </c>
      <c r="D99" s="5">
        <v>98</v>
      </c>
      <c r="E99" s="5">
        <v>96</v>
      </c>
      <c r="F99" s="6">
        <f t="shared" si="6"/>
        <v>3.05</v>
      </c>
      <c r="G99" s="5">
        <v>4</v>
      </c>
      <c r="H99" s="5">
        <v>3</v>
      </c>
      <c r="I99" s="5">
        <v>1</v>
      </c>
      <c r="J99" s="5">
        <v>4</v>
      </c>
      <c r="K99" s="4" t="s">
        <v>28</v>
      </c>
      <c r="L99" s="4" t="s">
        <v>835</v>
      </c>
      <c r="M99" s="4" t="s">
        <v>556</v>
      </c>
      <c r="N99" s="4" t="s">
        <v>836</v>
      </c>
      <c r="O99" s="4" t="s">
        <v>32</v>
      </c>
      <c r="P99" s="4" t="s">
        <v>33</v>
      </c>
      <c r="Q99" s="4" t="s">
        <v>34</v>
      </c>
      <c r="R99" s="4" t="s">
        <v>837</v>
      </c>
      <c r="S99" s="4" t="s">
        <v>838</v>
      </c>
      <c r="T99" s="4" t="s">
        <v>413</v>
      </c>
      <c r="U99" s="4" t="s">
        <v>839</v>
      </c>
      <c r="V99" s="4" t="s">
        <v>39</v>
      </c>
      <c r="W99" s="4" t="s">
        <v>40</v>
      </c>
      <c r="X99" s="4" t="s">
        <v>839</v>
      </c>
      <c r="Y99" s="4" t="s">
        <v>41</v>
      </c>
      <c r="Z99" s="4" t="s">
        <v>840</v>
      </c>
      <c r="AA99" s="4" t="s">
        <v>841</v>
      </c>
      <c r="AB99" s="7" t="e">
        <f t="shared" ca="1" si="7"/>
        <v>#NAME?</v>
      </c>
    </row>
    <row r="100" spans="1:28" ht="33.6" customHeight="1">
      <c r="A100" s="5">
        <v>99</v>
      </c>
      <c r="B100" s="5">
        <v>95</v>
      </c>
      <c r="C100" s="5">
        <v>99</v>
      </c>
      <c r="D100" s="5">
        <v>99</v>
      </c>
      <c r="E100" s="5">
        <v>97</v>
      </c>
      <c r="F100" s="6">
        <f t="shared" si="6"/>
        <v>3.05</v>
      </c>
      <c r="G100" s="5">
        <v>4</v>
      </c>
      <c r="H100" s="5">
        <v>3</v>
      </c>
      <c r="I100" s="5">
        <v>1</v>
      </c>
      <c r="J100" s="5">
        <v>4</v>
      </c>
      <c r="K100" s="4" t="s">
        <v>28</v>
      </c>
      <c r="L100" s="4" t="s">
        <v>842</v>
      </c>
      <c r="M100" s="4" t="s">
        <v>843</v>
      </c>
      <c r="N100" s="4" t="s">
        <v>844</v>
      </c>
      <c r="O100" s="4" t="s">
        <v>32</v>
      </c>
      <c r="P100" s="4" t="s">
        <v>33</v>
      </c>
      <c r="Q100" s="4" t="s">
        <v>34</v>
      </c>
      <c r="R100" s="4" t="s">
        <v>845</v>
      </c>
      <c r="S100" s="4" t="s">
        <v>846</v>
      </c>
      <c r="T100" s="4" t="s">
        <v>413</v>
      </c>
      <c r="U100" s="4" t="s">
        <v>847</v>
      </c>
      <c r="V100" s="4" t="s">
        <v>39</v>
      </c>
      <c r="W100" s="4" t="s">
        <v>40</v>
      </c>
      <c r="X100" s="4" t="s">
        <v>847</v>
      </c>
      <c r="Y100" s="4" t="s">
        <v>41</v>
      </c>
      <c r="Z100" s="4" t="s">
        <v>848</v>
      </c>
      <c r="AA100" s="4" t="s">
        <v>849</v>
      </c>
      <c r="AB100" s="7" t="e">
        <f t="shared" ca="1" si="7"/>
        <v>#NAME?</v>
      </c>
    </row>
    <row r="101" spans="1:28" ht="33.6" customHeight="1">
      <c r="A101" s="5">
        <v>100</v>
      </c>
      <c r="B101" s="5">
        <v>96</v>
      </c>
      <c r="C101" s="5">
        <v>100</v>
      </c>
      <c r="D101" s="5">
        <v>100</v>
      </c>
      <c r="E101" s="5">
        <v>98</v>
      </c>
      <c r="F101" s="6">
        <f t="shared" si="6"/>
        <v>3.05</v>
      </c>
      <c r="G101" s="5">
        <v>4</v>
      </c>
      <c r="H101" s="5">
        <v>3</v>
      </c>
      <c r="I101" s="5">
        <v>1</v>
      </c>
      <c r="J101" s="5">
        <v>4</v>
      </c>
      <c r="K101" s="4" t="s">
        <v>43</v>
      </c>
      <c r="L101" s="4" t="s">
        <v>850</v>
      </c>
      <c r="M101" s="4" t="s">
        <v>373</v>
      </c>
      <c r="N101" s="4" t="s">
        <v>851</v>
      </c>
      <c r="O101" s="4" t="s">
        <v>32</v>
      </c>
      <c r="P101" s="4" t="s">
        <v>852</v>
      </c>
      <c r="Q101" s="4" t="s">
        <v>34</v>
      </c>
      <c r="R101" s="4" t="s">
        <v>853</v>
      </c>
      <c r="S101" s="4" t="s">
        <v>854</v>
      </c>
      <c r="T101" s="4" t="s">
        <v>413</v>
      </c>
      <c r="U101" s="4" t="s">
        <v>855</v>
      </c>
      <c r="V101" s="4" t="s">
        <v>39</v>
      </c>
      <c r="W101" s="4" t="s">
        <v>40</v>
      </c>
      <c r="X101" s="4" t="s">
        <v>855</v>
      </c>
      <c r="Y101" s="4" t="s">
        <v>41</v>
      </c>
      <c r="Z101" s="4" t="s">
        <v>856</v>
      </c>
      <c r="AA101" s="4" t="s">
        <v>857</v>
      </c>
      <c r="AB101" s="7" t="e">
        <f t="shared" ca="1" si="7"/>
        <v>#NAME?</v>
      </c>
    </row>
    <row r="102" spans="1:28" ht="33.6" customHeight="1">
      <c r="A102" s="5">
        <v>101</v>
      </c>
      <c r="B102" s="5">
        <v>97</v>
      </c>
      <c r="C102" s="5">
        <v>101</v>
      </c>
      <c r="D102" s="5">
        <v>101</v>
      </c>
      <c r="E102" s="5">
        <v>128</v>
      </c>
      <c r="F102" s="6">
        <f t="shared" si="6"/>
        <v>2.95</v>
      </c>
      <c r="G102" s="5">
        <v>4</v>
      </c>
      <c r="H102" s="5">
        <v>3</v>
      </c>
      <c r="I102" s="5">
        <v>1</v>
      </c>
      <c r="J102" s="5">
        <v>3</v>
      </c>
      <c r="K102" s="4" t="s">
        <v>43</v>
      </c>
      <c r="L102" s="4" t="s">
        <v>858</v>
      </c>
      <c r="M102" s="4" t="s">
        <v>859</v>
      </c>
      <c r="N102" s="4" t="s">
        <v>860</v>
      </c>
      <c r="O102" s="4" t="s">
        <v>32</v>
      </c>
      <c r="P102" s="4" t="s">
        <v>861</v>
      </c>
      <c r="Q102" s="4" t="s">
        <v>34</v>
      </c>
      <c r="R102" s="4" t="s">
        <v>862</v>
      </c>
      <c r="S102" s="4" t="s">
        <v>863</v>
      </c>
      <c r="T102" s="4" t="s">
        <v>413</v>
      </c>
      <c r="U102" s="4" t="s">
        <v>864</v>
      </c>
      <c r="V102" s="4" t="s">
        <v>39</v>
      </c>
      <c r="W102" s="4" t="s">
        <v>40</v>
      </c>
      <c r="X102" s="4" t="s">
        <v>864</v>
      </c>
      <c r="Y102" s="4" t="s">
        <v>41</v>
      </c>
      <c r="Z102" s="4" t="s">
        <v>865</v>
      </c>
      <c r="AA102" s="4" t="s">
        <v>87</v>
      </c>
      <c r="AB102" s="7" t="e">
        <f t="shared" ca="1" si="7"/>
        <v>#NAME?</v>
      </c>
    </row>
    <row r="103" spans="1:28" ht="33.6" customHeight="1">
      <c r="A103" s="5">
        <v>102</v>
      </c>
      <c r="B103" s="5">
        <v>98</v>
      </c>
      <c r="C103" s="5">
        <v>102</v>
      </c>
      <c r="D103" s="5">
        <v>102</v>
      </c>
      <c r="E103" s="5">
        <v>129</v>
      </c>
      <c r="F103" s="6">
        <f t="shared" si="6"/>
        <v>2.95</v>
      </c>
      <c r="G103" s="5">
        <v>4</v>
      </c>
      <c r="H103" s="5">
        <v>3</v>
      </c>
      <c r="I103" s="5">
        <v>1</v>
      </c>
      <c r="J103" s="5">
        <v>3</v>
      </c>
      <c r="K103" s="4" t="s">
        <v>464</v>
      </c>
      <c r="L103" s="4" t="s">
        <v>866</v>
      </c>
      <c r="M103" s="4" t="s">
        <v>859</v>
      </c>
      <c r="N103" s="4" t="s">
        <v>867</v>
      </c>
      <c r="O103" s="4" t="s">
        <v>32</v>
      </c>
      <c r="P103" s="4" t="s">
        <v>868</v>
      </c>
      <c r="Q103" s="4" t="s">
        <v>34</v>
      </c>
      <c r="R103" s="4" t="s">
        <v>869</v>
      </c>
      <c r="S103" s="4" t="s">
        <v>870</v>
      </c>
      <c r="T103" s="4" t="s">
        <v>413</v>
      </c>
      <c r="U103" s="4" t="s">
        <v>871</v>
      </c>
      <c r="V103" s="4" t="s">
        <v>39</v>
      </c>
      <c r="W103" s="4" t="s">
        <v>40</v>
      </c>
      <c r="X103" s="4" t="s">
        <v>871</v>
      </c>
      <c r="Y103" s="4" t="s">
        <v>41</v>
      </c>
      <c r="Z103" s="4" t="s">
        <v>872</v>
      </c>
      <c r="AA103" s="4" t="s">
        <v>873</v>
      </c>
      <c r="AB103" s="7" t="e">
        <f t="shared" ca="1" si="7"/>
        <v>#NAME?</v>
      </c>
    </row>
    <row r="104" spans="1:28" ht="33.6" customHeight="1">
      <c r="A104" s="5">
        <v>103</v>
      </c>
      <c r="B104" s="5">
        <v>99</v>
      </c>
      <c r="C104" s="5">
        <v>103</v>
      </c>
      <c r="D104" s="5">
        <v>103</v>
      </c>
      <c r="E104" s="5">
        <v>130</v>
      </c>
      <c r="F104" s="6">
        <f t="shared" si="6"/>
        <v>2.95</v>
      </c>
      <c r="G104" s="5">
        <v>4</v>
      </c>
      <c r="H104" s="5">
        <v>3</v>
      </c>
      <c r="I104" s="5">
        <v>1</v>
      </c>
      <c r="J104" s="5">
        <v>3</v>
      </c>
      <c r="K104" s="4" t="s">
        <v>78</v>
      </c>
      <c r="L104" s="4" t="s">
        <v>874</v>
      </c>
      <c r="M104" s="4" t="s">
        <v>875</v>
      </c>
      <c r="N104" s="4" t="s">
        <v>876</v>
      </c>
      <c r="O104" s="4" t="s">
        <v>32</v>
      </c>
      <c r="P104" s="4" t="s">
        <v>877</v>
      </c>
      <c r="Q104" s="4" t="s">
        <v>34</v>
      </c>
      <c r="R104" s="4" t="s">
        <v>878</v>
      </c>
      <c r="S104" s="4" t="s">
        <v>879</v>
      </c>
      <c r="T104" s="4" t="s">
        <v>413</v>
      </c>
      <c r="U104" s="4" t="s">
        <v>880</v>
      </c>
      <c r="V104" s="4" t="s">
        <v>39</v>
      </c>
      <c r="W104" s="4" t="s">
        <v>40</v>
      </c>
      <c r="X104" s="4" t="s">
        <v>880</v>
      </c>
      <c r="Y104" s="4" t="s">
        <v>41</v>
      </c>
      <c r="Z104" s="4" t="s">
        <v>881</v>
      </c>
      <c r="AA104" s="4" t="s">
        <v>882</v>
      </c>
      <c r="AB104" s="7" t="e">
        <f t="shared" ca="1" si="7"/>
        <v>#NAME?</v>
      </c>
    </row>
    <row r="105" spans="1:28" ht="33.6" customHeight="1">
      <c r="A105" s="5">
        <v>104</v>
      </c>
      <c r="B105" s="5">
        <v>106</v>
      </c>
      <c r="C105" s="5">
        <v>104</v>
      </c>
      <c r="D105" s="5">
        <v>104</v>
      </c>
      <c r="E105" s="5">
        <v>99</v>
      </c>
      <c r="F105" s="6">
        <f t="shared" si="6"/>
        <v>2.7</v>
      </c>
      <c r="G105" s="5">
        <v>3</v>
      </c>
      <c r="H105" s="5">
        <v>3</v>
      </c>
      <c r="I105" s="5">
        <v>1</v>
      </c>
      <c r="J105" s="5">
        <v>4</v>
      </c>
      <c r="K105" s="4" t="s">
        <v>28</v>
      </c>
      <c r="L105" s="4" t="s">
        <v>883</v>
      </c>
      <c r="M105" s="4" t="s">
        <v>884</v>
      </c>
      <c r="N105" s="4" t="s">
        <v>885</v>
      </c>
      <c r="O105" s="4" t="s">
        <v>32</v>
      </c>
      <c r="P105" s="4" t="s">
        <v>33</v>
      </c>
      <c r="Q105" s="4" t="s">
        <v>34</v>
      </c>
      <c r="R105" s="4" t="s">
        <v>886</v>
      </c>
      <c r="S105" s="4" t="s">
        <v>887</v>
      </c>
      <c r="T105" s="4" t="s">
        <v>413</v>
      </c>
      <c r="U105" s="4" t="s">
        <v>888</v>
      </c>
      <c r="V105" s="4" t="s">
        <v>39</v>
      </c>
      <c r="W105" s="4" t="s">
        <v>40</v>
      </c>
      <c r="X105" s="4" t="s">
        <v>888</v>
      </c>
      <c r="Y105" s="4" t="s">
        <v>41</v>
      </c>
      <c r="Z105" s="4" t="s">
        <v>889</v>
      </c>
      <c r="AA105" s="4" t="s">
        <v>890</v>
      </c>
      <c r="AB105" s="7" t="e">
        <f t="shared" ca="1" si="7"/>
        <v>#NAME?</v>
      </c>
    </row>
    <row r="106" spans="1:28" ht="33.6" customHeight="1">
      <c r="A106" s="5">
        <v>105</v>
      </c>
      <c r="B106" s="5">
        <v>107</v>
      </c>
      <c r="C106" s="5">
        <v>105</v>
      </c>
      <c r="D106" s="5">
        <v>105</v>
      </c>
      <c r="E106" s="5">
        <v>100</v>
      </c>
      <c r="F106" s="6">
        <f t="shared" si="6"/>
        <v>2.7</v>
      </c>
      <c r="G106" s="5">
        <v>3</v>
      </c>
      <c r="H106" s="5">
        <v>3</v>
      </c>
      <c r="I106" s="5">
        <v>1</v>
      </c>
      <c r="J106" s="5">
        <v>4</v>
      </c>
      <c r="K106" s="4" t="s">
        <v>28</v>
      </c>
      <c r="L106" s="4" t="s">
        <v>891</v>
      </c>
      <c r="M106" s="4" t="s">
        <v>892</v>
      </c>
      <c r="N106" s="4" t="s">
        <v>893</v>
      </c>
      <c r="O106" s="4" t="s">
        <v>32</v>
      </c>
      <c r="P106" s="4" t="s">
        <v>33</v>
      </c>
      <c r="Q106" s="4" t="s">
        <v>34</v>
      </c>
      <c r="R106" s="4" t="s">
        <v>894</v>
      </c>
      <c r="S106" s="4" t="s">
        <v>895</v>
      </c>
      <c r="T106" s="4" t="s">
        <v>413</v>
      </c>
      <c r="U106" s="4" t="s">
        <v>896</v>
      </c>
      <c r="V106" s="4" t="s">
        <v>39</v>
      </c>
      <c r="W106" s="4" t="s">
        <v>40</v>
      </c>
      <c r="X106" s="4" t="s">
        <v>896</v>
      </c>
      <c r="Y106" s="4" t="s">
        <v>41</v>
      </c>
      <c r="Z106" s="4" t="s">
        <v>897</v>
      </c>
      <c r="AA106" s="4" t="s">
        <v>898</v>
      </c>
      <c r="AB106" s="7" t="e">
        <f t="shared" ca="1" si="7"/>
        <v>#NAME?</v>
      </c>
    </row>
    <row r="107" spans="1:28" ht="33.6" customHeight="1">
      <c r="A107" s="5">
        <v>106</v>
      </c>
      <c r="B107" s="5">
        <v>108</v>
      </c>
      <c r="C107" s="5">
        <v>106</v>
      </c>
      <c r="D107" s="5">
        <v>106</v>
      </c>
      <c r="E107" s="5">
        <v>101</v>
      </c>
      <c r="F107" s="6">
        <f t="shared" si="6"/>
        <v>2.7</v>
      </c>
      <c r="G107" s="5">
        <v>3</v>
      </c>
      <c r="H107" s="5">
        <v>3</v>
      </c>
      <c r="I107" s="5">
        <v>1</v>
      </c>
      <c r="J107" s="5">
        <v>4</v>
      </c>
      <c r="K107" s="4" t="s">
        <v>464</v>
      </c>
      <c r="L107" s="4" t="s">
        <v>899</v>
      </c>
      <c r="M107" s="4" t="s">
        <v>45</v>
      </c>
      <c r="N107" s="4" t="s">
        <v>900</v>
      </c>
      <c r="O107" s="4" t="s">
        <v>32</v>
      </c>
      <c r="P107" s="4" t="s">
        <v>901</v>
      </c>
      <c r="Q107" s="4" t="s">
        <v>34</v>
      </c>
      <c r="R107" s="4" t="s">
        <v>902</v>
      </c>
      <c r="S107" s="4" t="s">
        <v>903</v>
      </c>
      <c r="T107" s="4" t="s">
        <v>413</v>
      </c>
      <c r="U107" s="4" t="s">
        <v>904</v>
      </c>
      <c r="V107" s="4" t="s">
        <v>39</v>
      </c>
      <c r="W107" s="4" t="s">
        <v>40</v>
      </c>
      <c r="X107" s="4" t="s">
        <v>904</v>
      </c>
      <c r="Y107" s="4" t="s">
        <v>41</v>
      </c>
      <c r="Z107" s="4" t="s">
        <v>905</v>
      </c>
      <c r="AA107" s="4" t="s">
        <v>785</v>
      </c>
      <c r="AB107" s="7" t="e">
        <f t="shared" ca="1" si="7"/>
        <v>#NAME?</v>
      </c>
    </row>
    <row r="108" spans="1:28" ht="33.6" customHeight="1">
      <c r="A108" s="5">
        <v>107</v>
      </c>
      <c r="B108" s="5">
        <v>109</v>
      </c>
      <c r="C108" s="5">
        <v>107</v>
      </c>
      <c r="D108" s="5">
        <v>107</v>
      </c>
      <c r="E108" s="5">
        <v>102</v>
      </c>
      <c r="F108" s="6">
        <f t="shared" si="6"/>
        <v>2.7</v>
      </c>
      <c r="G108" s="5">
        <v>3</v>
      </c>
      <c r="H108" s="5">
        <v>3</v>
      </c>
      <c r="I108" s="5">
        <v>1</v>
      </c>
      <c r="J108" s="5">
        <v>4</v>
      </c>
      <c r="K108" s="4" t="s">
        <v>28</v>
      </c>
      <c r="L108" s="4" t="s">
        <v>906</v>
      </c>
      <c r="M108" s="4" t="s">
        <v>907</v>
      </c>
      <c r="N108" s="4" t="s">
        <v>908</v>
      </c>
      <c r="O108" s="4" t="s">
        <v>32</v>
      </c>
      <c r="P108" s="4" t="s">
        <v>909</v>
      </c>
      <c r="Q108" s="4" t="s">
        <v>34</v>
      </c>
      <c r="R108" s="4" t="s">
        <v>910</v>
      </c>
      <c r="S108" s="4" t="s">
        <v>911</v>
      </c>
      <c r="T108" s="4" t="s">
        <v>413</v>
      </c>
      <c r="U108" s="4" t="s">
        <v>912</v>
      </c>
      <c r="V108" s="4" t="s">
        <v>39</v>
      </c>
      <c r="W108" s="4" t="s">
        <v>40</v>
      </c>
      <c r="X108" s="4" t="s">
        <v>912</v>
      </c>
      <c r="Y108" s="4" t="s">
        <v>41</v>
      </c>
      <c r="Z108" s="4" t="s">
        <v>913</v>
      </c>
      <c r="AA108" s="4" t="s">
        <v>914</v>
      </c>
      <c r="AB108" s="7" t="e">
        <f t="shared" ca="1" si="7"/>
        <v>#NAME?</v>
      </c>
    </row>
    <row r="109" spans="1:28" ht="33.6" customHeight="1">
      <c r="A109" s="5">
        <v>108</v>
      </c>
      <c r="B109" s="5">
        <v>110</v>
      </c>
      <c r="C109" s="5">
        <v>108</v>
      </c>
      <c r="D109" s="5">
        <v>108</v>
      </c>
      <c r="E109" s="5">
        <v>103</v>
      </c>
      <c r="F109" s="6">
        <f t="shared" si="6"/>
        <v>2.7</v>
      </c>
      <c r="G109" s="5">
        <v>3</v>
      </c>
      <c r="H109" s="5">
        <v>3</v>
      </c>
      <c r="I109" s="5">
        <v>1</v>
      </c>
      <c r="J109" s="5">
        <v>4</v>
      </c>
      <c r="K109" s="4" t="s">
        <v>28</v>
      </c>
      <c r="L109" s="4" t="s">
        <v>915</v>
      </c>
      <c r="M109" s="4" t="s">
        <v>907</v>
      </c>
      <c r="N109" s="4" t="s">
        <v>916</v>
      </c>
      <c r="O109" s="4" t="s">
        <v>32</v>
      </c>
      <c r="P109" s="4" t="s">
        <v>909</v>
      </c>
      <c r="Q109" s="4" t="s">
        <v>34</v>
      </c>
      <c r="R109" s="4" t="s">
        <v>917</v>
      </c>
      <c r="S109" s="4" t="s">
        <v>918</v>
      </c>
      <c r="T109" s="4" t="s">
        <v>413</v>
      </c>
      <c r="U109" s="4" t="s">
        <v>919</v>
      </c>
      <c r="V109" s="4" t="s">
        <v>39</v>
      </c>
      <c r="W109" s="4" t="s">
        <v>40</v>
      </c>
      <c r="X109" s="4" t="s">
        <v>919</v>
      </c>
      <c r="Y109" s="4" t="s">
        <v>41</v>
      </c>
      <c r="Z109" s="4" t="s">
        <v>920</v>
      </c>
      <c r="AA109" s="4" t="s">
        <v>921</v>
      </c>
      <c r="AB109" s="7" t="e">
        <f t="shared" ca="1" si="7"/>
        <v>#NAME?</v>
      </c>
    </row>
    <row r="110" spans="1:28" ht="33.6" customHeight="1">
      <c r="A110" s="5">
        <v>109</v>
      </c>
      <c r="B110" s="5">
        <v>111</v>
      </c>
      <c r="C110" s="5">
        <v>109</v>
      </c>
      <c r="D110" s="5">
        <v>109</v>
      </c>
      <c r="E110" s="5">
        <v>104</v>
      </c>
      <c r="F110" s="6">
        <f t="shared" si="6"/>
        <v>2.7</v>
      </c>
      <c r="G110" s="5">
        <v>3</v>
      </c>
      <c r="H110" s="5">
        <v>3</v>
      </c>
      <c r="I110" s="5">
        <v>1</v>
      </c>
      <c r="J110" s="5">
        <v>4</v>
      </c>
      <c r="K110" s="4" t="s">
        <v>28</v>
      </c>
      <c r="L110" s="4" t="s">
        <v>922</v>
      </c>
      <c r="M110" s="4" t="s">
        <v>819</v>
      </c>
      <c r="N110" s="4" t="s">
        <v>923</v>
      </c>
      <c r="O110" s="4" t="s">
        <v>32</v>
      </c>
      <c r="P110" s="4" t="s">
        <v>33</v>
      </c>
      <c r="Q110" s="4" t="s">
        <v>34</v>
      </c>
      <c r="R110" s="4" t="s">
        <v>924</v>
      </c>
      <c r="S110" s="4" t="s">
        <v>925</v>
      </c>
      <c r="T110" s="4" t="s">
        <v>413</v>
      </c>
      <c r="U110" s="4" t="s">
        <v>926</v>
      </c>
      <c r="V110" s="4" t="s">
        <v>39</v>
      </c>
      <c r="W110" s="4" t="s">
        <v>40</v>
      </c>
      <c r="X110" s="4" t="s">
        <v>926</v>
      </c>
      <c r="Y110" s="4" t="s">
        <v>41</v>
      </c>
      <c r="Z110" s="4" t="s">
        <v>927</v>
      </c>
      <c r="AA110" s="4" t="s">
        <v>928</v>
      </c>
      <c r="AB110" s="7" t="e">
        <f t="shared" ca="1" si="7"/>
        <v>#NAME?</v>
      </c>
    </row>
    <row r="111" spans="1:28" ht="33.6" customHeight="1">
      <c r="A111" s="5">
        <v>110</v>
      </c>
      <c r="B111" s="5">
        <v>112</v>
      </c>
      <c r="C111" s="5">
        <v>110</v>
      </c>
      <c r="D111" s="5">
        <v>110</v>
      </c>
      <c r="E111" s="5">
        <v>105</v>
      </c>
      <c r="F111" s="6">
        <f t="shared" si="6"/>
        <v>2.7</v>
      </c>
      <c r="G111" s="5">
        <v>3</v>
      </c>
      <c r="H111" s="5">
        <v>3</v>
      </c>
      <c r="I111" s="5">
        <v>1</v>
      </c>
      <c r="J111" s="5">
        <v>4</v>
      </c>
      <c r="K111" s="4" t="s">
        <v>28</v>
      </c>
      <c r="L111" s="4" t="s">
        <v>929</v>
      </c>
      <c r="M111" s="4" t="s">
        <v>724</v>
      </c>
      <c r="N111" s="4" t="s">
        <v>930</v>
      </c>
      <c r="O111" s="4" t="s">
        <v>32</v>
      </c>
      <c r="P111" s="4" t="s">
        <v>33</v>
      </c>
      <c r="Q111" s="4" t="s">
        <v>34</v>
      </c>
      <c r="R111" s="4" t="s">
        <v>931</v>
      </c>
      <c r="S111" s="4" t="s">
        <v>932</v>
      </c>
      <c r="T111" s="4" t="s">
        <v>413</v>
      </c>
      <c r="U111" s="4" t="s">
        <v>933</v>
      </c>
      <c r="V111" s="4" t="s">
        <v>39</v>
      </c>
      <c r="W111" s="4" t="s">
        <v>40</v>
      </c>
      <c r="X111" s="4" t="s">
        <v>933</v>
      </c>
      <c r="Y111" s="4" t="s">
        <v>41</v>
      </c>
      <c r="Z111" s="4" t="s">
        <v>934</v>
      </c>
      <c r="AA111" s="4" t="s">
        <v>935</v>
      </c>
      <c r="AB111" s="7" t="e">
        <f t="shared" ca="1" si="7"/>
        <v>#NAME?</v>
      </c>
    </row>
    <row r="112" spans="1:28" ht="33.6" customHeight="1">
      <c r="A112" s="5">
        <v>111</v>
      </c>
      <c r="B112" s="5">
        <v>113</v>
      </c>
      <c r="C112" s="5">
        <v>111</v>
      </c>
      <c r="D112" s="5">
        <v>111</v>
      </c>
      <c r="E112" s="5">
        <v>106</v>
      </c>
      <c r="F112" s="6">
        <f t="shared" si="6"/>
        <v>2.7</v>
      </c>
      <c r="G112" s="5">
        <v>3</v>
      </c>
      <c r="H112" s="5">
        <v>3</v>
      </c>
      <c r="I112" s="5">
        <v>1</v>
      </c>
      <c r="J112" s="5">
        <v>4</v>
      </c>
      <c r="K112" s="4" t="s">
        <v>43</v>
      </c>
      <c r="L112" s="4" t="s">
        <v>936</v>
      </c>
      <c r="M112" s="4" t="s">
        <v>937</v>
      </c>
      <c r="N112" s="4" t="s">
        <v>938</v>
      </c>
      <c r="O112" s="4" t="s">
        <v>32</v>
      </c>
      <c r="P112" s="4" t="s">
        <v>939</v>
      </c>
      <c r="Q112" s="4" t="s">
        <v>34</v>
      </c>
      <c r="R112" s="4" t="s">
        <v>940</v>
      </c>
      <c r="S112" s="4" t="s">
        <v>941</v>
      </c>
      <c r="T112" s="4" t="s">
        <v>413</v>
      </c>
      <c r="U112" s="4" t="s">
        <v>942</v>
      </c>
      <c r="V112" s="4" t="s">
        <v>39</v>
      </c>
      <c r="W112" s="4" t="s">
        <v>40</v>
      </c>
      <c r="X112" s="4" t="s">
        <v>942</v>
      </c>
      <c r="Y112" s="4" t="s">
        <v>41</v>
      </c>
      <c r="Z112" s="4" t="s">
        <v>943</v>
      </c>
      <c r="AA112" s="4" t="s">
        <v>944</v>
      </c>
      <c r="AB112" s="7" t="e">
        <f t="shared" ca="1" si="7"/>
        <v>#NAME?</v>
      </c>
    </row>
    <row r="113" spans="1:28" ht="33.6" customHeight="1">
      <c r="A113" s="5">
        <v>112</v>
      </c>
      <c r="B113" s="5">
        <v>114</v>
      </c>
      <c r="C113" s="5">
        <v>112</v>
      </c>
      <c r="D113" s="5">
        <v>112</v>
      </c>
      <c r="E113" s="5">
        <v>107</v>
      </c>
      <c r="F113" s="6">
        <f t="shared" si="6"/>
        <v>2.7</v>
      </c>
      <c r="G113" s="5">
        <v>3</v>
      </c>
      <c r="H113" s="5">
        <v>3</v>
      </c>
      <c r="I113" s="5">
        <v>1</v>
      </c>
      <c r="J113" s="5">
        <v>4</v>
      </c>
      <c r="K113" s="4" t="s">
        <v>28</v>
      </c>
      <c r="L113" s="4" t="s">
        <v>945</v>
      </c>
      <c r="M113" s="4" t="s">
        <v>946</v>
      </c>
      <c r="N113" s="4" t="s">
        <v>947</v>
      </c>
      <c r="O113" s="4" t="s">
        <v>32</v>
      </c>
      <c r="P113" s="4" t="s">
        <v>33</v>
      </c>
      <c r="Q113" s="4" t="s">
        <v>34</v>
      </c>
      <c r="R113" s="4" t="s">
        <v>948</v>
      </c>
      <c r="S113" s="4" t="s">
        <v>949</v>
      </c>
      <c r="T113" s="4" t="s">
        <v>413</v>
      </c>
      <c r="U113" s="4" t="s">
        <v>950</v>
      </c>
      <c r="V113" s="4" t="s">
        <v>39</v>
      </c>
      <c r="W113" s="4" t="s">
        <v>40</v>
      </c>
      <c r="X113" s="4" t="s">
        <v>950</v>
      </c>
      <c r="Y113" s="4" t="s">
        <v>41</v>
      </c>
      <c r="Z113" s="4" t="s">
        <v>951</v>
      </c>
      <c r="AA113" s="4" t="s">
        <v>446</v>
      </c>
      <c r="AB113" s="7" t="e">
        <f t="shared" ca="1" si="7"/>
        <v>#NAME?</v>
      </c>
    </row>
    <row r="114" spans="1:28" ht="33.6" customHeight="1">
      <c r="A114" s="5">
        <v>113</v>
      </c>
      <c r="B114" s="5">
        <v>115</v>
      </c>
      <c r="C114" s="5">
        <v>113</v>
      </c>
      <c r="D114" s="5">
        <v>113</v>
      </c>
      <c r="E114" s="5">
        <v>108</v>
      </c>
      <c r="F114" s="6">
        <f t="shared" si="6"/>
        <v>2.7</v>
      </c>
      <c r="G114" s="5">
        <v>3</v>
      </c>
      <c r="H114" s="5">
        <v>3</v>
      </c>
      <c r="I114" s="5">
        <v>1</v>
      </c>
      <c r="J114" s="5">
        <v>4</v>
      </c>
      <c r="K114" s="4" t="s">
        <v>43</v>
      </c>
      <c r="L114" s="4" t="s">
        <v>952</v>
      </c>
      <c r="M114" s="4" t="s">
        <v>953</v>
      </c>
      <c r="N114" s="4" t="s">
        <v>954</v>
      </c>
      <c r="O114" s="4" t="s">
        <v>32</v>
      </c>
      <c r="P114" s="4" t="s">
        <v>852</v>
      </c>
      <c r="Q114" s="4" t="s">
        <v>34</v>
      </c>
      <c r="R114" s="4" t="s">
        <v>955</v>
      </c>
      <c r="S114" s="4" t="s">
        <v>956</v>
      </c>
      <c r="T114" s="4" t="s">
        <v>413</v>
      </c>
      <c r="U114" s="4" t="s">
        <v>957</v>
      </c>
      <c r="V114" s="4" t="s">
        <v>39</v>
      </c>
      <c r="W114" s="4" t="s">
        <v>40</v>
      </c>
      <c r="X114" s="4" t="s">
        <v>957</v>
      </c>
      <c r="Y114" s="4" t="s">
        <v>41</v>
      </c>
      <c r="Z114" s="4" t="s">
        <v>958</v>
      </c>
      <c r="AA114" s="4" t="s">
        <v>959</v>
      </c>
      <c r="AB114" s="7" t="e">
        <f t="shared" ca="1" si="7"/>
        <v>#NAME?</v>
      </c>
    </row>
    <row r="115" spans="1:28" ht="33.6" customHeight="1">
      <c r="A115" s="5">
        <v>114</v>
      </c>
      <c r="B115" s="5">
        <v>116</v>
      </c>
      <c r="C115" s="5">
        <v>114</v>
      </c>
      <c r="D115" s="5">
        <v>114</v>
      </c>
      <c r="E115" s="5">
        <v>109</v>
      </c>
      <c r="F115" s="6">
        <f t="shared" si="6"/>
        <v>2.7</v>
      </c>
      <c r="G115" s="5">
        <v>3</v>
      </c>
      <c r="H115" s="5">
        <v>3</v>
      </c>
      <c r="I115" s="5">
        <v>1</v>
      </c>
      <c r="J115" s="5">
        <v>4</v>
      </c>
      <c r="K115" s="4" t="s">
        <v>28</v>
      </c>
      <c r="L115" s="4" t="s">
        <v>960</v>
      </c>
      <c r="M115" s="4" t="s">
        <v>961</v>
      </c>
      <c r="N115" s="4" t="s">
        <v>962</v>
      </c>
      <c r="O115" s="4" t="s">
        <v>32</v>
      </c>
      <c r="P115" s="4" t="s">
        <v>33</v>
      </c>
      <c r="Q115" s="4" t="s">
        <v>34</v>
      </c>
      <c r="R115" s="4" t="s">
        <v>963</v>
      </c>
      <c r="S115" s="4" t="s">
        <v>964</v>
      </c>
      <c r="T115" s="4" t="s">
        <v>413</v>
      </c>
      <c r="U115" s="4" t="s">
        <v>965</v>
      </c>
      <c r="V115" s="4" t="s">
        <v>39</v>
      </c>
      <c r="W115" s="4" t="s">
        <v>40</v>
      </c>
      <c r="X115" s="4" t="s">
        <v>965</v>
      </c>
      <c r="Y115" s="4" t="s">
        <v>41</v>
      </c>
      <c r="Z115" s="4" t="s">
        <v>966</v>
      </c>
      <c r="AA115" s="4" t="s">
        <v>967</v>
      </c>
      <c r="AB115" s="7" t="e">
        <f t="shared" ca="1" si="7"/>
        <v>#NAME?</v>
      </c>
    </row>
    <row r="116" spans="1:28" ht="33.6" customHeight="1">
      <c r="A116" s="5">
        <v>115</v>
      </c>
      <c r="B116" s="5">
        <v>117</v>
      </c>
      <c r="C116" s="5">
        <v>115</v>
      </c>
      <c r="D116" s="5">
        <v>115</v>
      </c>
      <c r="E116" s="5">
        <v>110</v>
      </c>
      <c r="F116" s="6">
        <f t="shared" si="6"/>
        <v>2.7</v>
      </c>
      <c r="G116" s="5">
        <v>3</v>
      </c>
      <c r="H116" s="5">
        <v>3</v>
      </c>
      <c r="I116" s="5">
        <v>1</v>
      </c>
      <c r="J116" s="5">
        <v>4</v>
      </c>
      <c r="K116" s="4" t="s">
        <v>28</v>
      </c>
      <c r="L116" s="4" t="s">
        <v>968</v>
      </c>
      <c r="M116" s="4" t="s">
        <v>969</v>
      </c>
      <c r="N116" s="4" t="s">
        <v>970</v>
      </c>
      <c r="O116" s="4" t="s">
        <v>32</v>
      </c>
      <c r="P116" s="4" t="s">
        <v>33</v>
      </c>
      <c r="Q116" s="4" t="s">
        <v>34</v>
      </c>
      <c r="R116" s="4" t="s">
        <v>971</v>
      </c>
      <c r="S116" s="4" t="s">
        <v>972</v>
      </c>
      <c r="T116" s="4" t="s">
        <v>413</v>
      </c>
      <c r="U116" s="4" t="s">
        <v>973</v>
      </c>
      <c r="V116" s="4" t="s">
        <v>39</v>
      </c>
      <c r="W116" s="4" t="s">
        <v>40</v>
      </c>
      <c r="X116" s="4" t="s">
        <v>973</v>
      </c>
      <c r="Y116" s="4" t="s">
        <v>41</v>
      </c>
      <c r="Z116" s="4" t="s">
        <v>974</v>
      </c>
      <c r="AA116" s="4" t="s">
        <v>975</v>
      </c>
      <c r="AB116" s="7" t="e">
        <f t="shared" ca="1" si="7"/>
        <v>#NAME?</v>
      </c>
    </row>
    <row r="117" spans="1:28" ht="33.6" customHeight="1">
      <c r="A117" s="5">
        <v>116</v>
      </c>
      <c r="B117" s="5">
        <v>118</v>
      </c>
      <c r="C117" s="5">
        <v>116</v>
      </c>
      <c r="D117" s="5">
        <v>116</v>
      </c>
      <c r="E117" s="5">
        <v>111</v>
      </c>
      <c r="F117" s="6">
        <f t="shared" si="6"/>
        <v>2.7</v>
      </c>
      <c r="G117" s="5">
        <v>3</v>
      </c>
      <c r="H117" s="5">
        <v>3</v>
      </c>
      <c r="I117" s="5">
        <v>1</v>
      </c>
      <c r="J117" s="5">
        <v>4</v>
      </c>
      <c r="K117" s="4" t="s">
        <v>28</v>
      </c>
      <c r="L117" s="4" t="s">
        <v>976</v>
      </c>
      <c r="M117" s="4" t="s">
        <v>977</v>
      </c>
      <c r="N117" s="4" t="s">
        <v>978</v>
      </c>
      <c r="O117" s="4" t="s">
        <v>32</v>
      </c>
      <c r="P117" s="4" t="s">
        <v>33</v>
      </c>
      <c r="Q117" s="4" t="s">
        <v>34</v>
      </c>
      <c r="R117" s="4" t="s">
        <v>979</v>
      </c>
      <c r="S117" s="4" t="s">
        <v>980</v>
      </c>
      <c r="T117" s="4" t="s">
        <v>413</v>
      </c>
      <c r="U117" s="4" t="s">
        <v>981</v>
      </c>
      <c r="V117" s="4" t="s">
        <v>39</v>
      </c>
      <c r="W117" s="4" t="s">
        <v>40</v>
      </c>
      <c r="X117" s="4" t="s">
        <v>981</v>
      </c>
      <c r="Y117" s="4" t="s">
        <v>41</v>
      </c>
      <c r="Z117" s="4" t="s">
        <v>982</v>
      </c>
      <c r="AA117" s="4" t="s">
        <v>983</v>
      </c>
      <c r="AB117" s="7" t="e">
        <f t="shared" ca="1" si="7"/>
        <v>#NAME?</v>
      </c>
    </row>
    <row r="118" spans="1:28" ht="33.6" customHeight="1">
      <c r="A118" s="5">
        <v>117</v>
      </c>
      <c r="B118" s="5">
        <v>119</v>
      </c>
      <c r="C118" s="5">
        <v>117</v>
      </c>
      <c r="D118" s="5">
        <v>117</v>
      </c>
      <c r="E118" s="5">
        <v>112</v>
      </c>
      <c r="F118" s="6">
        <f t="shared" si="6"/>
        <v>2.7</v>
      </c>
      <c r="G118" s="5">
        <v>3</v>
      </c>
      <c r="H118" s="5">
        <v>3</v>
      </c>
      <c r="I118" s="5">
        <v>1</v>
      </c>
      <c r="J118" s="5">
        <v>4</v>
      </c>
      <c r="K118" s="4" t="s">
        <v>28</v>
      </c>
      <c r="L118" s="4" t="s">
        <v>984</v>
      </c>
      <c r="M118" s="4" t="s">
        <v>985</v>
      </c>
      <c r="N118" s="4" t="s">
        <v>986</v>
      </c>
      <c r="O118" s="4" t="s">
        <v>32</v>
      </c>
      <c r="P118" s="4" t="s">
        <v>33</v>
      </c>
      <c r="Q118" s="4" t="s">
        <v>34</v>
      </c>
      <c r="R118" s="4" t="s">
        <v>987</v>
      </c>
      <c r="S118" s="4" t="s">
        <v>988</v>
      </c>
      <c r="T118" s="4" t="s">
        <v>413</v>
      </c>
      <c r="U118" s="4" t="s">
        <v>989</v>
      </c>
      <c r="V118" s="4" t="s">
        <v>39</v>
      </c>
      <c r="W118" s="4" t="s">
        <v>40</v>
      </c>
      <c r="X118" s="4" t="s">
        <v>989</v>
      </c>
      <c r="Y118" s="4" t="s">
        <v>41</v>
      </c>
      <c r="Z118" s="4" t="s">
        <v>990</v>
      </c>
      <c r="AA118" s="4" t="s">
        <v>991</v>
      </c>
      <c r="AB118" s="7" t="e">
        <f t="shared" ca="1" si="7"/>
        <v>#NAME?</v>
      </c>
    </row>
    <row r="119" spans="1:28" ht="33.6" customHeight="1">
      <c r="A119" s="5">
        <v>118</v>
      </c>
      <c r="B119" s="5">
        <v>120</v>
      </c>
      <c r="C119" s="5">
        <v>118</v>
      </c>
      <c r="D119" s="5">
        <v>118</v>
      </c>
      <c r="E119" s="5">
        <v>113</v>
      </c>
      <c r="F119" s="6">
        <f t="shared" si="6"/>
        <v>2.7</v>
      </c>
      <c r="G119" s="5">
        <v>3</v>
      </c>
      <c r="H119" s="5">
        <v>3</v>
      </c>
      <c r="I119" s="5">
        <v>1</v>
      </c>
      <c r="J119" s="5">
        <v>4</v>
      </c>
      <c r="K119" s="4" t="s">
        <v>43</v>
      </c>
      <c r="L119" s="4" t="s">
        <v>992</v>
      </c>
      <c r="M119" s="4" t="s">
        <v>993</v>
      </c>
      <c r="N119" s="4" t="s">
        <v>994</v>
      </c>
      <c r="O119" s="4" t="s">
        <v>32</v>
      </c>
      <c r="P119" s="4" t="s">
        <v>995</v>
      </c>
      <c r="Q119" s="4" t="s">
        <v>34</v>
      </c>
      <c r="R119" s="4" t="s">
        <v>996</v>
      </c>
      <c r="S119" s="4" t="s">
        <v>997</v>
      </c>
      <c r="T119" s="4" t="s">
        <v>413</v>
      </c>
      <c r="U119" s="4" t="s">
        <v>998</v>
      </c>
      <c r="V119" s="4" t="s">
        <v>39</v>
      </c>
      <c r="W119" s="4" t="s">
        <v>40</v>
      </c>
      <c r="X119" s="4" t="s">
        <v>998</v>
      </c>
      <c r="Y119" s="4" t="s">
        <v>41</v>
      </c>
      <c r="Z119" s="4" t="s">
        <v>999</v>
      </c>
      <c r="AA119" s="4" t="s">
        <v>1000</v>
      </c>
      <c r="AB119" s="7" t="e">
        <f t="shared" ca="1" si="7"/>
        <v>#NAME?</v>
      </c>
    </row>
    <row r="120" spans="1:28" ht="33.6" customHeight="1">
      <c r="A120" s="5">
        <v>119</v>
      </c>
      <c r="B120" s="5">
        <v>121</v>
      </c>
      <c r="C120" s="5">
        <v>119</v>
      </c>
      <c r="D120" s="5">
        <v>119</v>
      </c>
      <c r="E120" s="5">
        <v>114</v>
      </c>
      <c r="F120" s="6">
        <f t="shared" si="6"/>
        <v>2.7</v>
      </c>
      <c r="G120" s="5">
        <v>3</v>
      </c>
      <c r="H120" s="5">
        <v>3</v>
      </c>
      <c r="I120" s="5">
        <v>1</v>
      </c>
      <c r="J120" s="5">
        <v>4</v>
      </c>
      <c r="K120" s="4" t="s">
        <v>43</v>
      </c>
      <c r="L120" s="4" t="s">
        <v>1001</v>
      </c>
      <c r="M120" s="4" t="s">
        <v>1002</v>
      </c>
      <c r="N120" s="4" t="s">
        <v>1003</v>
      </c>
      <c r="O120" s="4" t="s">
        <v>32</v>
      </c>
      <c r="P120" s="4" t="s">
        <v>1004</v>
      </c>
      <c r="Q120" s="4" t="s">
        <v>34</v>
      </c>
      <c r="R120" s="4" t="s">
        <v>1005</v>
      </c>
      <c r="S120" s="4" t="s">
        <v>1006</v>
      </c>
      <c r="T120" s="4" t="s">
        <v>413</v>
      </c>
      <c r="U120" s="4" t="s">
        <v>1007</v>
      </c>
      <c r="V120" s="4" t="s">
        <v>39</v>
      </c>
      <c r="W120" s="4" t="s">
        <v>40</v>
      </c>
      <c r="X120" s="4" t="s">
        <v>1007</v>
      </c>
      <c r="Y120" s="4" t="s">
        <v>41</v>
      </c>
      <c r="Z120" s="4" t="s">
        <v>1008</v>
      </c>
      <c r="AA120" s="4" t="s">
        <v>1009</v>
      </c>
      <c r="AB120" s="7" t="e">
        <f t="shared" ca="1" si="7"/>
        <v>#NAME?</v>
      </c>
    </row>
    <row r="121" spans="1:28" ht="33.6" customHeight="1">
      <c r="A121" s="5">
        <v>120</v>
      </c>
      <c r="B121" s="5">
        <v>100</v>
      </c>
      <c r="C121" s="5">
        <v>122</v>
      </c>
      <c r="D121" s="5">
        <v>120</v>
      </c>
      <c r="E121" s="5">
        <v>115</v>
      </c>
      <c r="F121" s="6">
        <f t="shared" si="6"/>
        <v>2.7</v>
      </c>
      <c r="G121" s="5">
        <v>4</v>
      </c>
      <c r="H121" s="5">
        <v>2</v>
      </c>
      <c r="I121" s="5">
        <v>1</v>
      </c>
      <c r="J121" s="5">
        <v>4</v>
      </c>
      <c r="K121" s="4" t="s">
        <v>78</v>
      </c>
      <c r="L121" s="4" t="s">
        <v>1010</v>
      </c>
      <c r="M121" s="4" t="s">
        <v>213</v>
      </c>
      <c r="N121" s="4" t="s">
        <v>1011</v>
      </c>
      <c r="O121" s="4" t="s">
        <v>32</v>
      </c>
      <c r="P121" s="4" t="s">
        <v>468</v>
      </c>
      <c r="Q121" s="4" t="s">
        <v>34</v>
      </c>
      <c r="R121" s="4" t="s">
        <v>1012</v>
      </c>
      <c r="S121" s="4" t="s">
        <v>1013</v>
      </c>
      <c r="T121" s="4" t="s">
        <v>1014</v>
      </c>
      <c r="U121" s="4" t="s">
        <v>1015</v>
      </c>
      <c r="V121" s="4" t="s">
        <v>39</v>
      </c>
      <c r="W121" s="4" t="s">
        <v>40</v>
      </c>
      <c r="X121" s="4" t="s">
        <v>1015</v>
      </c>
      <c r="Y121" s="4" t="s">
        <v>41</v>
      </c>
      <c r="Z121" s="4" t="s">
        <v>1016</v>
      </c>
      <c r="AA121" s="4" t="s">
        <v>1017</v>
      </c>
      <c r="AB121" s="7" t="e">
        <f t="shared" ca="1" si="7"/>
        <v>#NAME?</v>
      </c>
    </row>
    <row r="122" spans="1:28" ht="33.6" customHeight="1">
      <c r="A122" s="5">
        <v>121</v>
      </c>
      <c r="B122" s="5">
        <v>101</v>
      </c>
      <c r="C122" s="5">
        <v>123</v>
      </c>
      <c r="D122" s="5">
        <v>121</v>
      </c>
      <c r="E122" s="5">
        <v>116</v>
      </c>
      <c r="F122" s="6">
        <f t="shared" si="6"/>
        <v>2.7</v>
      </c>
      <c r="G122" s="5">
        <v>4</v>
      </c>
      <c r="H122" s="5">
        <v>2</v>
      </c>
      <c r="I122" s="5">
        <v>1</v>
      </c>
      <c r="J122" s="5">
        <v>4</v>
      </c>
      <c r="K122" s="4" t="s">
        <v>28</v>
      </c>
      <c r="L122" s="4" t="s">
        <v>1018</v>
      </c>
      <c r="M122" s="4" t="s">
        <v>1019</v>
      </c>
      <c r="N122" s="4" t="s">
        <v>1020</v>
      </c>
      <c r="O122" s="4" t="s">
        <v>32</v>
      </c>
      <c r="P122" s="4" t="s">
        <v>1021</v>
      </c>
      <c r="Q122" s="4" t="s">
        <v>34</v>
      </c>
      <c r="R122" s="4" t="s">
        <v>1022</v>
      </c>
      <c r="S122" s="4" t="s">
        <v>1023</v>
      </c>
      <c r="T122" s="4" t="s">
        <v>1014</v>
      </c>
      <c r="U122" s="4" t="s">
        <v>1024</v>
      </c>
      <c r="V122" s="4" t="s">
        <v>39</v>
      </c>
      <c r="W122" s="4" t="s">
        <v>40</v>
      </c>
      <c r="X122" s="4" t="s">
        <v>1024</v>
      </c>
      <c r="Y122" s="4" t="s">
        <v>41</v>
      </c>
      <c r="Z122" s="4" t="s">
        <v>1025</v>
      </c>
      <c r="AA122" s="4" t="s">
        <v>1026</v>
      </c>
      <c r="AB122" s="7" t="e">
        <f t="shared" ca="1" si="7"/>
        <v>#NAME?</v>
      </c>
    </row>
    <row r="123" spans="1:28" ht="33.6" customHeight="1">
      <c r="A123" s="5">
        <v>122</v>
      </c>
      <c r="B123" s="5">
        <v>122</v>
      </c>
      <c r="C123" s="5">
        <v>120</v>
      </c>
      <c r="D123" s="5">
        <v>122</v>
      </c>
      <c r="E123" s="5">
        <v>131</v>
      </c>
      <c r="F123" s="6">
        <f t="shared" si="6"/>
        <v>2.6</v>
      </c>
      <c r="G123" s="5">
        <v>3</v>
      </c>
      <c r="H123" s="5">
        <v>3</v>
      </c>
      <c r="I123" s="5">
        <v>1</v>
      </c>
      <c r="J123" s="5">
        <v>3</v>
      </c>
      <c r="K123" s="4" t="s">
        <v>464</v>
      </c>
      <c r="L123" s="4" t="s">
        <v>1027</v>
      </c>
      <c r="M123" s="4" t="s">
        <v>1028</v>
      </c>
      <c r="N123" s="4" t="s">
        <v>1029</v>
      </c>
      <c r="O123" s="4" t="s">
        <v>32</v>
      </c>
      <c r="P123" s="4" t="s">
        <v>468</v>
      </c>
      <c r="Q123" s="4" t="s">
        <v>34</v>
      </c>
      <c r="R123" s="4" t="s">
        <v>1030</v>
      </c>
      <c r="S123" s="4" t="s">
        <v>1031</v>
      </c>
      <c r="T123" s="4" t="s">
        <v>413</v>
      </c>
      <c r="U123" s="4" t="s">
        <v>1032</v>
      </c>
      <c r="V123" s="4" t="s">
        <v>39</v>
      </c>
      <c r="W123" s="4" t="s">
        <v>40</v>
      </c>
      <c r="X123" s="4" t="s">
        <v>1032</v>
      </c>
      <c r="Y123" s="4" t="s">
        <v>41</v>
      </c>
      <c r="Z123" s="4" t="s">
        <v>1033</v>
      </c>
      <c r="AA123" s="4" t="s">
        <v>1034</v>
      </c>
      <c r="AB123" s="7" t="e">
        <f t="shared" ca="1" si="7"/>
        <v>#NAME?</v>
      </c>
    </row>
    <row r="124" spans="1:28" ht="33.6" customHeight="1">
      <c r="A124" s="5">
        <v>123</v>
      </c>
      <c r="B124" s="5">
        <v>123</v>
      </c>
      <c r="C124" s="5">
        <v>121</v>
      </c>
      <c r="D124" s="5">
        <v>123</v>
      </c>
      <c r="E124" s="5">
        <v>132</v>
      </c>
      <c r="F124" s="6">
        <f t="shared" si="6"/>
        <v>2.6</v>
      </c>
      <c r="G124" s="5">
        <v>3</v>
      </c>
      <c r="H124" s="5">
        <v>3</v>
      </c>
      <c r="I124" s="5">
        <v>1</v>
      </c>
      <c r="J124" s="5">
        <v>3</v>
      </c>
      <c r="K124" s="4" t="s">
        <v>28</v>
      </c>
      <c r="L124" s="4" t="s">
        <v>1035</v>
      </c>
      <c r="M124" s="4" t="s">
        <v>130</v>
      </c>
      <c r="N124" s="4" t="s">
        <v>1036</v>
      </c>
      <c r="O124" s="4" t="s">
        <v>32</v>
      </c>
      <c r="P124" s="4" t="s">
        <v>33</v>
      </c>
      <c r="Q124" s="4" t="s">
        <v>34</v>
      </c>
      <c r="R124" s="4" t="s">
        <v>1037</v>
      </c>
      <c r="S124" s="4" t="s">
        <v>1038</v>
      </c>
      <c r="T124" s="4" t="s">
        <v>413</v>
      </c>
      <c r="U124" s="4" t="s">
        <v>1039</v>
      </c>
      <c r="V124" s="4" t="s">
        <v>39</v>
      </c>
      <c r="W124" s="4" t="s">
        <v>40</v>
      </c>
      <c r="X124" s="4" t="s">
        <v>1039</v>
      </c>
      <c r="Y124" s="4" t="s">
        <v>41</v>
      </c>
      <c r="Z124" s="4" t="s">
        <v>1040</v>
      </c>
      <c r="AA124" s="4" t="s">
        <v>1041</v>
      </c>
      <c r="AB124" s="7" t="e">
        <f t="shared" ca="1" si="7"/>
        <v>#NAME?</v>
      </c>
    </row>
    <row r="125" spans="1:28" ht="33.6" customHeight="1">
      <c r="A125" s="5">
        <v>124</v>
      </c>
      <c r="B125" s="5">
        <v>124</v>
      </c>
      <c r="C125" s="5">
        <v>124</v>
      </c>
      <c r="D125" s="5">
        <v>124</v>
      </c>
      <c r="E125" s="5">
        <v>117</v>
      </c>
      <c r="F125" s="6">
        <f t="shared" si="6"/>
        <v>2.35</v>
      </c>
      <c r="G125" s="5">
        <v>3</v>
      </c>
      <c r="H125" s="5">
        <v>2</v>
      </c>
      <c r="I125" s="5">
        <v>1</v>
      </c>
      <c r="J125" s="5">
        <v>4</v>
      </c>
      <c r="K125" s="4" t="s">
        <v>43</v>
      </c>
      <c r="L125" s="4" t="s">
        <v>1042</v>
      </c>
      <c r="M125" s="4" t="s">
        <v>492</v>
      </c>
      <c r="N125" s="4" t="s">
        <v>1043</v>
      </c>
      <c r="O125" s="4" t="s">
        <v>32</v>
      </c>
      <c r="P125" s="4" t="s">
        <v>1044</v>
      </c>
      <c r="Q125" s="4" t="s">
        <v>34</v>
      </c>
      <c r="R125" s="4" t="s">
        <v>1045</v>
      </c>
      <c r="S125" s="4" t="s">
        <v>1046</v>
      </c>
      <c r="T125" s="4" t="s">
        <v>1014</v>
      </c>
      <c r="U125" s="4" t="s">
        <v>1047</v>
      </c>
      <c r="V125" s="4" t="s">
        <v>39</v>
      </c>
      <c r="W125" s="4" t="s">
        <v>40</v>
      </c>
      <c r="X125" s="4" t="s">
        <v>1047</v>
      </c>
      <c r="Y125" s="4" t="s">
        <v>41</v>
      </c>
      <c r="Z125" s="4" t="s">
        <v>1048</v>
      </c>
      <c r="AA125" s="4" t="s">
        <v>1049</v>
      </c>
      <c r="AB125" s="7" t="e">
        <f t="shared" ca="1" si="7"/>
        <v>#NAME?</v>
      </c>
    </row>
    <row r="126" spans="1:28" ht="33.6" customHeight="1">
      <c r="A126" s="5">
        <v>125</v>
      </c>
      <c r="B126" s="5">
        <v>125</v>
      </c>
      <c r="C126" s="5">
        <v>125</v>
      </c>
      <c r="D126" s="5">
        <v>125</v>
      </c>
      <c r="E126" s="5">
        <v>118</v>
      </c>
      <c r="F126" s="6">
        <f t="shared" si="6"/>
        <v>2.35</v>
      </c>
      <c r="G126" s="5">
        <v>3</v>
      </c>
      <c r="H126" s="5">
        <v>2</v>
      </c>
      <c r="I126" s="5">
        <v>1</v>
      </c>
      <c r="J126" s="5">
        <v>4</v>
      </c>
      <c r="K126" s="4" t="s">
        <v>28</v>
      </c>
      <c r="L126" s="4" t="s">
        <v>1050</v>
      </c>
      <c r="M126" s="4" t="s">
        <v>1051</v>
      </c>
      <c r="N126" s="4" t="s">
        <v>1052</v>
      </c>
      <c r="O126" s="4" t="s">
        <v>32</v>
      </c>
      <c r="P126" s="4" t="s">
        <v>33</v>
      </c>
      <c r="Q126" s="4" t="s">
        <v>34</v>
      </c>
      <c r="R126" s="4" t="s">
        <v>1053</v>
      </c>
      <c r="S126" s="4" t="s">
        <v>1054</v>
      </c>
      <c r="T126" s="4" t="s">
        <v>1014</v>
      </c>
      <c r="U126" s="4" t="s">
        <v>1055</v>
      </c>
      <c r="V126" s="4" t="s">
        <v>39</v>
      </c>
      <c r="W126" s="4" t="s">
        <v>40</v>
      </c>
      <c r="X126" s="4" t="s">
        <v>1055</v>
      </c>
      <c r="Y126" s="4" t="s">
        <v>41</v>
      </c>
      <c r="Z126" s="4" t="s">
        <v>1056</v>
      </c>
      <c r="AA126" s="4" t="s">
        <v>446</v>
      </c>
      <c r="AB126" s="7" t="e">
        <f t="shared" ca="1" si="7"/>
        <v>#NAME?</v>
      </c>
    </row>
    <row r="127" spans="1:28" ht="33.6" customHeight="1">
      <c r="A127" s="5">
        <v>126</v>
      </c>
      <c r="B127" s="5">
        <v>126</v>
      </c>
      <c r="C127" s="5">
        <v>126</v>
      </c>
      <c r="D127" s="5">
        <v>126</v>
      </c>
      <c r="E127" s="5">
        <v>119</v>
      </c>
      <c r="F127" s="6">
        <f t="shared" si="6"/>
        <v>2.35</v>
      </c>
      <c r="G127" s="5">
        <v>3</v>
      </c>
      <c r="H127" s="5">
        <v>2</v>
      </c>
      <c r="I127" s="5">
        <v>1</v>
      </c>
      <c r="J127" s="5">
        <v>4</v>
      </c>
      <c r="K127" s="4" t="s">
        <v>464</v>
      </c>
      <c r="L127" s="4" t="s">
        <v>1057</v>
      </c>
      <c r="M127" s="4" t="s">
        <v>547</v>
      </c>
      <c r="N127" s="4" t="s">
        <v>1058</v>
      </c>
      <c r="O127" s="4" t="s">
        <v>32</v>
      </c>
      <c r="P127" s="4" t="s">
        <v>468</v>
      </c>
      <c r="Q127" s="4" t="s">
        <v>34</v>
      </c>
      <c r="R127" s="4" t="s">
        <v>1059</v>
      </c>
      <c r="S127" s="4" t="s">
        <v>1060</v>
      </c>
      <c r="T127" s="4" t="s">
        <v>1014</v>
      </c>
      <c r="U127" s="4" t="s">
        <v>1061</v>
      </c>
      <c r="V127" s="4" t="s">
        <v>39</v>
      </c>
      <c r="W127" s="4" t="s">
        <v>40</v>
      </c>
      <c r="X127" s="4" t="s">
        <v>1061</v>
      </c>
      <c r="Y127" s="4" t="s">
        <v>41</v>
      </c>
      <c r="Z127" s="4" t="s">
        <v>1062</v>
      </c>
      <c r="AA127" s="4" t="s">
        <v>1063</v>
      </c>
      <c r="AB127" s="7" t="e">
        <f t="shared" ca="1" si="7"/>
        <v>#NAME?</v>
      </c>
    </row>
    <row r="128" spans="1:28" ht="33.6" customHeight="1">
      <c r="A128" s="5">
        <v>127</v>
      </c>
      <c r="B128" s="5">
        <v>127</v>
      </c>
      <c r="C128" s="5">
        <v>127</v>
      </c>
      <c r="D128" s="5">
        <v>127</v>
      </c>
      <c r="E128" s="5">
        <v>120</v>
      </c>
      <c r="F128" s="6">
        <f t="shared" si="6"/>
        <v>2.35</v>
      </c>
      <c r="G128" s="5">
        <v>3</v>
      </c>
      <c r="H128" s="5">
        <v>2</v>
      </c>
      <c r="I128" s="5">
        <v>1</v>
      </c>
      <c r="J128" s="5">
        <v>4</v>
      </c>
      <c r="K128" s="4" t="s">
        <v>43</v>
      </c>
      <c r="L128" s="4" t="s">
        <v>1064</v>
      </c>
      <c r="M128" s="4" t="s">
        <v>1065</v>
      </c>
      <c r="N128" s="4" t="s">
        <v>1066</v>
      </c>
      <c r="O128" s="4" t="s">
        <v>32</v>
      </c>
      <c r="P128" s="4" t="s">
        <v>1067</v>
      </c>
      <c r="Q128" s="4" t="s">
        <v>34</v>
      </c>
      <c r="R128" s="4" t="s">
        <v>1068</v>
      </c>
      <c r="S128" s="4" t="s">
        <v>1069</v>
      </c>
      <c r="T128" s="4" t="s">
        <v>1014</v>
      </c>
      <c r="U128" s="4" t="s">
        <v>1070</v>
      </c>
      <c r="V128" s="4" t="s">
        <v>39</v>
      </c>
      <c r="W128" s="4" t="s">
        <v>40</v>
      </c>
      <c r="X128" s="4" t="s">
        <v>1070</v>
      </c>
      <c r="Y128" s="4" t="s">
        <v>41</v>
      </c>
      <c r="Z128" s="4" t="s">
        <v>1071</v>
      </c>
      <c r="AA128" s="4" t="s">
        <v>1072</v>
      </c>
      <c r="AB128" s="7" t="e">
        <f t="shared" ca="1" si="7"/>
        <v>#NAME?</v>
      </c>
    </row>
    <row r="129" spans="1:28" ht="33.6" customHeight="1">
      <c r="A129" s="5">
        <v>128</v>
      </c>
      <c r="B129" s="5">
        <v>128</v>
      </c>
      <c r="C129" s="5">
        <v>128</v>
      </c>
      <c r="D129" s="5">
        <v>128</v>
      </c>
      <c r="E129" s="5">
        <v>121</v>
      </c>
      <c r="F129" s="6">
        <f t="shared" si="6"/>
        <v>2.35</v>
      </c>
      <c r="G129" s="5">
        <v>3</v>
      </c>
      <c r="H129" s="5">
        <v>2</v>
      </c>
      <c r="I129" s="5">
        <v>1</v>
      </c>
      <c r="J129" s="5">
        <v>4</v>
      </c>
      <c r="K129" s="4" t="s">
        <v>464</v>
      </c>
      <c r="L129" s="4" t="s">
        <v>1073</v>
      </c>
      <c r="M129" s="4" t="s">
        <v>492</v>
      </c>
      <c r="N129" s="4" t="s">
        <v>1074</v>
      </c>
      <c r="O129" s="4" t="s">
        <v>32</v>
      </c>
      <c r="P129" s="4" t="s">
        <v>468</v>
      </c>
      <c r="Q129" s="4" t="s">
        <v>34</v>
      </c>
      <c r="R129" s="4" t="s">
        <v>1075</v>
      </c>
      <c r="S129" s="4" t="s">
        <v>1076</v>
      </c>
      <c r="T129" s="4" t="s">
        <v>1014</v>
      </c>
      <c r="U129" s="4" t="s">
        <v>1077</v>
      </c>
      <c r="V129" s="4" t="s">
        <v>39</v>
      </c>
      <c r="W129" s="4" t="s">
        <v>40</v>
      </c>
      <c r="X129" s="4" t="s">
        <v>1077</v>
      </c>
      <c r="Y129" s="4" t="s">
        <v>41</v>
      </c>
      <c r="Z129" s="4" t="s">
        <v>1078</v>
      </c>
      <c r="AA129" s="4" t="s">
        <v>1079</v>
      </c>
      <c r="AB129" s="7" t="e">
        <f t="shared" ca="1" si="7"/>
        <v>#NAME?</v>
      </c>
    </row>
    <row r="130" spans="1:28" ht="33.6" customHeight="1">
      <c r="A130" s="5">
        <v>129</v>
      </c>
      <c r="B130" s="5">
        <v>129</v>
      </c>
      <c r="C130" s="5">
        <v>129</v>
      </c>
      <c r="D130" s="5">
        <v>129</v>
      </c>
      <c r="E130" s="5">
        <v>122</v>
      </c>
      <c r="F130" s="6">
        <f t="shared" ref="F130:F161" si="8">ROUND(0.35*G130+0.35*H130+0.2*I130+0.1*J130,2)</f>
        <v>2.35</v>
      </c>
      <c r="G130" s="5">
        <v>3</v>
      </c>
      <c r="H130" s="5">
        <v>2</v>
      </c>
      <c r="I130" s="5">
        <v>1</v>
      </c>
      <c r="J130" s="5">
        <v>4</v>
      </c>
      <c r="K130" s="4" t="s">
        <v>28</v>
      </c>
      <c r="L130" s="4" t="s">
        <v>1080</v>
      </c>
      <c r="M130" s="4" t="s">
        <v>1081</v>
      </c>
      <c r="N130" s="4" t="s">
        <v>1082</v>
      </c>
      <c r="O130" s="4" t="s">
        <v>32</v>
      </c>
      <c r="P130" s="4" t="s">
        <v>33</v>
      </c>
      <c r="Q130" s="4" t="s">
        <v>34</v>
      </c>
      <c r="R130" s="4" t="s">
        <v>1083</v>
      </c>
      <c r="S130" s="4" t="s">
        <v>1084</v>
      </c>
      <c r="T130" s="4" t="s">
        <v>1014</v>
      </c>
      <c r="U130" s="4" t="s">
        <v>1085</v>
      </c>
      <c r="V130" s="4" t="s">
        <v>39</v>
      </c>
      <c r="W130" s="4" t="s">
        <v>40</v>
      </c>
      <c r="X130" s="4" t="s">
        <v>1085</v>
      </c>
      <c r="Y130" s="4" t="s">
        <v>41</v>
      </c>
      <c r="Z130" s="4" t="s">
        <v>1086</v>
      </c>
      <c r="AA130" s="4" t="s">
        <v>1087</v>
      </c>
      <c r="AB130" s="7" t="e">
        <f t="shared" ref="AB130:AB161" ca="1" si="9">_xludf.IMAGE(AA130)</f>
        <v>#NAME?</v>
      </c>
    </row>
    <row r="131" spans="1:28" ht="33.6" customHeight="1">
      <c r="A131" s="5">
        <v>130</v>
      </c>
      <c r="B131" s="5">
        <v>130</v>
      </c>
      <c r="C131" s="5">
        <v>130</v>
      </c>
      <c r="D131" s="5">
        <v>130</v>
      </c>
      <c r="E131" s="5">
        <v>123</v>
      </c>
      <c r="F131" s="6">
        <f t="shared" si="8"/>
        <v>2.35</v>
      </c>
      <c r="G131" s="5">
        <v>3</v>
      </c>
      <c r="H131" s="5">
        <v>2</v>
      </c>
      <c r="I131" s="5">
        <v>1</v>
      </c>
      <c r="J131" s="5">
        <v>4</v>
      </c>
      <c r="K131" s="4" t="s">
        <v>28</v>
      </c>
      <c r="L131" s="4" t="s">
        <v>1088</v>
      </c>
      <c r="M131" s="4" t="s">
        <v>843</v>
      </c>
      <c r="N131" s="4" t="s">
        <v>1089</v>
      </c>
      <c r="O131" s="4" t="s">
        <v>32</v>
      </c>
      <c r="P131" s="4" t="s">
        <v>33</v>
      </c>
      <c r="Q131" s="4" t="s">
        <v>34</v>
      </c>
      <c r="R131" s="4" t="s">
        <v>1090</v>
      </c>
      <c r="S131" s="4" t="s">
        <v>1091</v>
      </c>
      <c r="T131" s="4" t="s">
        <v>1014</v>
      </c>
      <c r="U131" s="4" t="s">
        <v>1092</v>
      </c>
      <c r="V131" s="4" t="s">
        <v>39</v>
      </c>
      <c r="W131" s="4" t="s">
        <v>40</v>
      </c>
      <c r="X131" s="4" t="s">
        <v>1092</v>
      </c>
      <c r="Y131" s="4" t="s">
        <v>41</v>
      </c>
      <c r="Z131" s="4" t="s">
        <v>1093</v>
      </c>
      <c r="AA131" s="4" t="s">
        <v>1094</v>
      </c>
      <c r="AB131" s="7" t="e">
        <f t="shared" ca="1" si="9"/>
        <v>#NAME?</v>
      </c>
    </row>
    <row r="132" spans="1:28" ht="33.6" customHeight="1">
      <c r="A132" s="5">
        <v>131</v>
      </c>
      <c r="B132" s="5">
        <v>131</v>
      </c>
      <c r="C132" s="5">
        <v>131</v>
      </c>
      <c r="D132" s="5">
        <v>131</v>
      </c>
      <c r="E132" s="5">
        <v>124</v>
      </c>
      <c r="F132" s="6">
        <f t="shared" si="8"/>
        <v>2.35</v>
      </c>
      <c r="G132" s="5">
        <v>3</v>
      </c>
      <c r="H132" s="5">
        <v>2</v>
      </c>
      <c r="I132" s="5">
        <v>1</v>
      </c>
      <c r="J132" s="5">
        <v>4</v>
      </c>
      <c r="K132" s="4" t="s">
        <v>28</v>
      </c>
      <c r="L132" s="4" t="s">
        <v>1095</v>
      </c>
      <c r="M132" s="4" t="s">
        <v>1096</v>
      </c>
      <c r="N132" s="4" t="s">
        <v>1097</v>
      </c>
      <c r="O132" s="4" t="s">
        <v>32</v>
      </c>
      <c r="P132" s="4" t="s">
        <v>33</v>
      </c>
      <c r="Q132" s="4" t="s">
        <v>34</v>
      </c>
      <c r="R132" s="4" t="s">
        <v>1098</v>
      </c>
      <c r="S132" s="4" t="s">
        <v>1099</v>
      </c>
      <c r="T132" s="4" t="s">
        <v>1014</v>
      </c>
      <c r="U132" s="4" t="s">
        <v>1100</v>
      </c>
      <c r="V132" s="4" t="s">
        <v>39</v>
      </c>
      <c r="W132" s="4" t="s">
        <v>40</v>
      </c>
      <c r="X132" s="4" t="s">
        <v>1100</v>
      </c>
      <c r="Y132" s="4" t="s">
        <v>41</v>
      </c>
      <c r="Z132" s="4" t="s">
        <v>1101</v>
      </c>
      <c r="AA132" s="4" t="s">
        <v>1102</v>
      </c>
      <c r="AB132" s="7" t="e">
        <f t="shared" ca="1" si="9"/>
        <v>#NAME?</v>
      </c>
    </row>
    <row r="133" spans="1:28" ht="33.6" customHeight="1">
      <c r="A133" s="5">
        <v>132</v>
      </c>
      <c r="B133" s="5">
        <v>132</v>
      </c>
      <c r="C133" s="5">
        <v>132</v>
      </c>
      <c r="D133" s="5">
        <v>132</v>
      </c>
      <c r="E133" s="5">
        <v>125</v>
      </c>
      <c r="F133" s="6">
        <f t="shared" si="8"/>
        <v>2.35</v>
      </c>
      <c r="G133" s="5">
        <v>3</v>
      </c>
      <c r="H133" s="5">
        <v>2</v>
      </c>
      <c r="I133" s="5">
        <v>1</v>
      </c>
      <c r="J133" s="5">
        <v>4</v>
      </c>
      <c r="K133" s="4" t="s">
        <v>464</v>
      </c>
      <c r="L133" s="4" t="s">
        <v>1103</v>
      </c>
      <c r="M133" s="4" t="s">
        <v>1104</v>
      </c>
      <c r="N133" s="4" t="s">
        <v>1105</v>
      </c>
      <c r="O133" s="4" t="s">
        <v>32</v>
      </c>
      <c r="P133" s="4" t="s">
        <v>1106</v>
      </c>
      <c r="Q133" s="4" t="s">
        <v>34</v>
      </c>
      <c r="R133" s="4" t="s">
        <v>1107</v>
      </c>
      <c r="S133" s="4" t="s">
        <v>1108</v>
      </c>
      <c r="T133" s="4" t="s">
        <v>1014</v>
      </c>
      <c r="U133" s="4" t="s">
        <v>1109</v>
      </c>
      <c r="V133" s="4" t="s">
        <v>39</v>
      </c>
      <c r="W133" s="4" t="s">
        <v>40</v>
      </c>
      <c r="X133" s="4" t="s">
        <v>1109</v>
      </c>
      <c r="Y133" s="4" t="s">
        <v>41</v>
      </c>
      <c r="Z133" s="4" t="s">
        <v>1110</v>
      </c>
      <c r="AA133" s="4" t="s">
        <v>1111</v>
      </c>
      <c r="AB133" s="7" t="e">
        <f t="shared" ca="1" si="9"/>
        <v>#NAME?</v>
      </c>
    </row>
    <row r="134" spans="1:28" ht="33.6" customHeight="1">
      <c r="A134" s="5">
        <v>133</v>
      </c>
      <c r="B134" s="5">
        <v>133</v>
      </c>
      <c r="C134" s="5">
        <v>133</v>
      </c>
      <c r="D134" s="5">
        <v>133</v>
      </c>
      <c r="E134" s="5">
        <v>133</v>
      </c>
      <c r="F134" s="6">
        <f t="shared" si="8"/>
        <v>2.25</v>
      </c>
      <c r="G134" s="5">
        <v>3</v>
      </c>
      <c r="H134" s="5">
        <v>2</v>
      </c>
      <c r="I134" s="5">
        <v>1</v>
      </c>
      <c r="J134" s="5">
        <v>3</v>
      </c>
      <c r="K134" s="4" t="s">
        <v>28</v>
      </c>
      <c r="L134" s="4" t="s">
        <v>1112</v>
      </c>
      <c r="M134" s="4" t="s">
        <v>1113</v>
      </c>
      <c r="N134" s="4" t="s">
        <v>1114</v>
      </c>
      <c r="O134" s="4" t="s">
        <v>32</v>
      </c>
      <c r="P134" s="4" t="s">
        <v>33</v>
      </c>
      <c r="Q134" s="4" t="s">
        <v>34</v>
      </c>
      <c r="R134" s="4" t="s">
        <v>1115</v>
      </c>
      <c r="S134" s="4" t="s">
        <v>1116</v>
      </c>
      <c r="T134" s="4" t="s">
        <v>1014</v>
      </c>
      <c r="U134" s="4" t="s">
        <v>1117</v>
      </c>
      <c r="V134" s="4" t="s">
        <v>39</v>
      </c>
      <c r="W134" s="4" t="s">
        <v>40</v>
      </c>
      <c r="X134" s="4" t="s">
        <v>1117</v>
      </c>
      <c r="Y134" s="4" t="s">
        <v>41</v>
      </c>
      <c r="Z134" s="4" t="s">
        <v>1118</v>
      </c>
      <c r="AA134" s="4" t="s">
        <v>1119</v>
      </c>
      <c r="AB134" s="7" t="e">
        <f t="shared" ca="1" si="9"/>
        <v>#NAME?</v>
      </c>
    </row>
    <row r="135" spans="1:28" ht="33.6" customHeight="1">
      <c r="A135" s="5">
        <v>134</v>
      </c>
      <c r="B135" s="5">
        <v>134</v>
      </c>
      <c r="C135" s="5">
        <v>134</v>
      </c>
      <c r="D135" s="5">
        <v>134</v>
      </c>
      <c r="E135" s="5">
        <v>134</v>
      </c>
      <c r="F135" s="6">
        <f t="shared" si="8"/>
        <v>2.25</v>
      </c>
      <c r="G135" s="5">
        <v>3</v>
      </c>
      <c r="H135" s="5">
        <v>2</v>
      </c>
      <c r="I135" s="5">
        <v>1</v>
      </c>
      <c r="J135" s="5">
        <v>3</v>
      </c>
      <c r="K135" s="4" t="s">
        <v>28</v>
      </c>
      <c r="L135" s="4" t="s">
        <v>1120</v>
      </c>
      <c r="M135" s="4" t="s">
        <v>1121</v>
      </c>
      <c r="N135" s="4" t="s">
        <v>1122</v>
      </c>
      <c r="O135" s="4" t="s">
        <v>32</v>
      </c>
      <c r="P135" s="4" t="s">
        <v>1123</v>
      </c>
      <c r="Q135" s="4" t="s">
        <v>34</v>
      </c>
      <c r="R135" s="4" t="s">
        <v>1124</v>
      </c>
      <c r="S135" s="4" t="s">
        <v>1125</v>
      </c>
      <c r="T135" s="4" t="s">
        <v>1014</v>
      </c>
      <c r="U135" s="4" t="s">
        <v>1126</v>
      </c>
      <c r="V135" s="4" t="s">
        <v>39</v>
      </c>
      <c r="W135" s="4" t="s">
        <v>40</v>
      </c>
      <c r="X135" s="4" t="s">
        <v>1126</v>
      </c>
      <c r="Y135" s="4" t="s">
        <v>41</v>
      </c>
      <c r="Z135" s="4" t="s">
        <v>1127</v>
      </c>
      <c r="AA135" s="4" t="s">
        <v>1128</v>
      </c>
      <c r="AB135" s="7" t="e">
        <f t="shared" ca="1" si="9"/>
        <v>#NAME?</v>
      </c>
    </row>
    <row r="136" spans="1:28" ht="33.6" customHeight="1">
      <c r="A136" s="5">
        <v>135</v>
      </c>
      <c r="B136" s="5">
        <v>135</v>
      </c>
      <c r="C136" s="5">
        <v>135</v>
      </c>
      <c r="D136" s="5">
        <v>135</v>
      </c>
      <c r="E136" s="5">
        <v>135</v>
      </c>
      <c r="F136" s="6">
        <f t="shared" si="8"/>
        <v>2.25</v>
      </c>
      <c r="G136" s="5">
        <v>3</v>
      </c>
      <c r="H136" s="5">
        <v>2</v>
      </c>
      <c r="I136" s="5">
        <v>1</v>
      </c>
      <c r="J136" s="5">
        <v>3</v>
      </c>
      <c r="K136" s="4" t="s">
        <v>28</v>
      </c>
      <c r="L136" s="4" t="s">
        <v>1129</v>
      </c>
      <c r="M136" s="4" t="s">
        <v>180</v>
      </c>
      <c r="N136" s="4" t="s">
        <v>1130</v>
      </c>
      <c r="O136" s="4" t="s">
        <v>32</v>
      </c>
      <c r="P136" s="4" t="s">
        <v>33</v>
      </c>
      <c r="Q136" s="4" t="s">
        <v>34</v>
      </c>
      <c r="R136" s="4" t="s">
        <v>1131</v>
      </c>
      <c r="S136" s="4" t="s">
        <v>1132</v>
      </c>
      <c r="T136" s="4" t="s">
        <v>1014</v>
      </c>
      <c r="U136" s="4" t="s">
        <v>1133</v>
      </c>
      <c r="V136" s="4" t="s">
        <v>39</v>
      </c>
      <c r="W136" s="4" t="s">
        <v>40</v>
      </c>
      <c r="X136" s="4" t="s">
        <v>1133</v>
      </c>
      <c r="Y136" s="4" t="s">
        <v>41</v>
      </c>
      <c r="Z136" s="4" t="s">
        <v>1134</v>
      </c>
      <c r="AA136" s="4" t="s">
        <v>1135</v>
      </c>
      <c r="AB136" s="7" t="e">
        <f t="shared" ca="1" si="9"/>
        <v>#NAME?</v>
      </c>
    </row>
    <row r="137" spans="1:28" ht="33.6" customHeight="1">
      <c r="A137" s="5">
        <v>136</v>
      </c>
      <c r="B137" s="5">
        <v>136</v>
      </c>
      <c r="C137" s="5">
        <v>136</v>
      </c>
      <c r="D137" s="5">
        <v>136</v>
      </c>
      <c r="E137" s="5">
        <v>136</v>
      </c>
      <c r="F137" s="6">
        <f t="shared" si="8"/>
        <v>2.25</v>
      </c>
      <c r="G137" s="5">
        <v>3</v>
      </c>
      <c r="H137" s="5">
        <v>2</v>
      </c>
      <c r="I137" s="5">
        <v>1</v>
      </c>
      <c r="J137" s="5">
        <v>3</v>
      </c>
      <c r="K137" s="4" t="s">
        <v>43</v>
      </c>
      <c r="L137" s="4" t="s">
        <v>1136</v>
      </c>
      <c r="M137" s="4" t="s">
        <v>1137</v>
      </c>
      <c r="N137" s="4" t="s">
        <v>1138</v>
      </c>
      <c r="O137" s="4" t="s">
        <v>32</v>
      </c>
      <c r="P137" s="4" t="s">
        <v>1139</v>
      </c>
      <c r="Q137" s="4" t="s">
        <v>34</v>
      </c>
      <c r="R137" s="4" t="s">
        <v>1140</v>
      </c>
      <c r="S137" s="4" t="s">
        <v>1141</v>
      </c>
      <c r="T137" s="4" t="s">
        <v>1014</v>
      </c>
      <c r="U137" s="4" t="s">
        <v>1142</v>
      </c>
      <c r="V137" s="4" t="s">
        <v>39</v>
      </c>
      <c r="W137" s="4" t="s">
        <v>40</v>
      </c>
      <c r="X137" s="4" t="s">
        <v>1142</v>
      </c>
      <c r="Y137" s="4" t="s">
        <v>41</v>
      </c>
      <c r="Z137" s="4" t="s">
        <v>1143</v>
      </c>
      <c r="AA137" s="4" t="s">
        <v>1144</v>
      </c>
      <c r="AB137" s="7" t="e">
        <f t="shared" ca="1" si="9"/>
        <v>#NAME?</v>
      </c>
    </row>
    <row r="138" spans="1:28" ht="33.6" customHeight="1">
      <c r="A138" s="5">
        <v>137</v>
      </c>
      <c r="B138" s="5">
        <v>137</v>
      </c>
      <c r="C138" s="5">
        <v>137</v>
      </c>
      <c r="D138" s="5">
        <v>137</v>
      </c>
      <c r="E138" s="5">
        <v>137</v>
      </c>
      <c r="F138" s="6">
        <f t="shared" si="8"/>
        <v>2.25</v>
      </c>
      <c r="G138" s="5">
        <v>3</v>
      </c>
      <c r="H138" s="5">
        <v>2</v>
      </c>
      <c r="I138" s="5">
        <v>1</v>
      </c>
      <c r="J138" s="5">
        <v>3</v>
      </c>
      <c r="K138" s="4" t="s">
        <v>28</v>
      </c>
      <c r="L138" s="4" t="s">
        <v>1145</v>
      </c>
      <c r="M138" s="4" t="s">
        <v>1146</v>
      </c>
      <c r="N138" s="4" t="s">
        <v>1147</v>
      </c>
      <c r="O138" s="4" t="s">
        <v>32</v>
      </c>
      <c r="P138" s="4" t="s">
        <v>33</v>
      </c>
      <c r="Q138" s="4" t="s">
        <v>34</v>
      </c>
      <c r="R138" s="4" t="s">
        <v>1148</v>
      </c>
      <c r="S138" s="4" t="s">
        <v>1149</v>
      </c>
      <c r="T138" s="4" t="s">
        <v>1014</v>
      </c>
      <c r="U138" s="4" t="s">
        <v>1150</v>
      </c>
      <c r="V138" s="4" t="s">
        <v>39</v>
      </c>
      <c r="W138" s="4" t="s">
        <v>40</v>
      </c>
      <c r="X138" s="4" t="s">
        <v>1150</v>
      </c>
      <c r="Y138" s="4" t="s">
        <v>41</v>
      </c>
      <c r="Z138" s="4" t="s">
        <v>1151</v>
      </c>
      <c r="AA138" s="4" t="s">
        <v>1152</v>
      </c>
      <c r="AB138" s="7" t="e">
        <f t="shared" ca="1" si="9"/>
        <v>#NAME?</v>
      </c>
    </row>
  </sheetData>
  <conditionalFormatting sqref="A2:A138">
    <cfRule type="colorScale" priority="1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B2:B138">
    <cfRule type="colorScale" priority="2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C2:C138">
    <cfRule type="colorScale" priority="3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D2:D138">
    <cfRule type="colorScale" priority="4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E2:E138">
    <cfRule type="colorScale" priority="5">
      <colorScale>
        <cfvo type="min"/>
        <cfvo type="percentile" val="50"/>
        <cfvo type="max"/>
        <color rgb="FFDCFCE7"/>
        <color rgb="FFFEF3C7"/>
        <color rgb="FFFEE2E2"/>
      </colorScale>
    </cfRule>
  </conditionalFormatting>
  <conditionalFormatting sqref="F2:F138">
    <cfRule type="colorScale" priority="6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G2:G138">
    <cfRule type="colorScale" priority="7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H2:H138">
    <cfRule type="colorScale" priority="8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I2:I138">
    <cfRule type="colorScale" priority="9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J2:J138">
    <cfRule type="colorScale" priority="10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K2:K138">
    <cfRule type="expression" dxfId="2" priority="11">
      <formula>ISNUMBER(SEARCH("open source",K2))</formula>
    </cfRule>
    <cfRule type="expression" dxfId="1" priority="12">
      <formula>ISNUMBER(SEARCH("comercial",K2))</formula>
    </cfRule>
    <cfRule type="expression" dxfId="0" priority="13">
      <formula>ISNUMBER(SEARCH("cloud",K2))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3.8"/>
  <cols>
    <col min="1" max="1" width="35" customWidth="1"/>
    <col min="2" max="2" width="115" customWidth="1"/>
  </cols>
  <sheetData>
    <row r="1" spans="1:2">
      <c r="A1" s="3" t="s">
        <v>1153</v>
      </c>
      <c r="B1" s="3" t="s">
        <v>1154</v>
      </c>
    </row>
    <row r="2" spans="1:2">
      <c r="A2" t="s">
        <v>10</v>
      </c>
      <c r="B2" t="s">
        <v>1155</v>
      </c>
    </row>
    <row r="3" spans="1:2">
      <c r="A3" t="s">
        <v>0</v>
      </c>
      <c r="B3" t="s">
        <v>1156</v>
      </c>
    </row>
    <row r="4" spans="1:2">
      <c r="A4" t="s">
        <v>1</v>
      </c>
      <c r="B4" t="s">
        <v>1157</v>
      </c>
    </row>
    <row r="5" spans="1:2">
      <c r="A5" t="s">
        <v>2</v>
      </c>
      <c r="B5" t="s">
        <v>1158</v>
      </c>
    </row>
    <row r="6" spans="1:2">
      <c r="A6" t="s">
        <v>3</v>
      </c>
      <c r="B6" t="s">
        <v>1159</v>
      </c>
    </row>
    <row r="7" spans="1:2">
      <c r="A7" t="s">
        <v>4</v>
      </c>
      <c r="B7" t="s">
        <v>1160</v>
      </c>
    </row>
    <row r="8" spans="1:2">
      <c r="A8" t="s">
        <v>5</v>
      </c>
      <c r="B8" t="s">
        <v>1161</v>
      </c>
    </row>
    <row r="9" spans="1:2">
      <c r="A9" t="s">
        <v>26</v>
      </c>
      <c r="B9" t="s">
        <v>1162</v>
      </c>
    </row>
    <row r="10" spans="1:2">
      <c r="A10" t="s">
        <v>27</v>
      </c>
      <c r="B10" t="s">
        <v>1163</v>
      </c>
    </row>
    <row r="11" spans="1:2">
      <c r="A11" t="s">
        <v>1164</v>
      </c>
      <c r="B11" t="s">
        <v>1165</v>
      </c>
    </row>
    <row r="12" spans="1:2">
      <c r="A12" t="s">
        <v>1166</v>
      </c>
      <c r="B12">
        <v>137</v>
      </c>
    </row>
    <row r="13" spans="1:2">
      <c r="A13" t="s">
        <v>1167</v>
      </c>
      <c r="B13" t="s">
        <v>1168</v>
      </c>
    </row>
    <row r="14" spans="1:2">
      <c r="A14" t="s">
        <v>1169</v>
      </c>
      <c r="B14" t="s">
        <v>1170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2"/>
  <sheetViews>
    <sheetView workbookViewId="0"/>
  </sheetViews>
  <sheetFormatPr defaultRowHeight="13.8"/>
  <cols>
    <col min="1" max="1" width="42" customWidth="1"/>
    <col min="2" max="2" width="90" customWidth="1"/>
  </cols>
  <sheetData>
    <row r="1" spans="1:2">
      <c r="A1" s="2" t="s">
        <v>1171</v>
      </c>
      <c r="B1" s="2" t="s">
        <v>1172</v>
      </c>
    </row>
    <row r="2" spans="1:2">
      <c r="A2" t="s">
        <v>1166</v>
      </c>
      <c r="B2">
        <v>137</v>
      </c>
    </row>
    <row r="3" spans="1:2">
      <c r="A3" t="s">
        <v>1173</v>
      </c>
      <c r="B3" t="s">
        <v>1174</v>
      </c>
    </row>
    <row r="4" spans="1:2">
      <c r="A4" t="s">
        <v>1175</v>
      </c>
      <c r="B4" t="s">
        <v>10</v>
      </c>
    </row>
    <row r="5" spans="1:2">
      <c r="A5" t="s">
        <v>1176</v>
      </c>
      <c r="B5" t="s">
        <v>26</v>
      </c>
    </row>
    <row r="6" spans="1:2">
      <c r="A6" t="s">
        <v>1177</v>
      </c>
      <c r="B6" t="s">
        <v>27</v>
      </c>
    </row>
    <row r="7" spans="1:2">
      <c r="A7" t="s">
        <v>1178</v>
      </c>
      <c r="B7" t="s">
        <v>1179</v>
      </c>
    </row>
    <row r="8" spans="1:2">
      <c r="A8" t="s">
        <v>1180</v>
      </c>
      <c r="B8" t="s">
        <v>1181</v>
      </c>
    </row>
    <row r="9" spans="1:2">
      <c r="A9" t="s">
        <v>1182</v>
      </c>
      <c r="B9" t="s">
        <v>31</v>
      </c>
    </row>
    <row r="10" spans="1:2">
      <c r="A10" t="s">
        <v>1183</v>
      </c>
      <c r="B10" t="s">
        <v>31</v>
      </c>
    </row>
    <row r="11" spans="1:2">
      <c r="A11" t="s">
        <v>1184</v>
      </c>
      <c r="B11" t="s">
        <v>31</v>
      </c>
    </row>
    <row r="12" spans="1:2">
      <c r="A12" t="s">
        <v>1185</v>
      </c>
      <c r="B12" t="s">
        <v>31</v>
      </c>
    </row>
    <row r="13" spans="1:2">
      <c r="A13" t="s">
        <v>1169</v>
      </c>
      <c r="B13" t="s">
        <v>1170</v>
      </c>
    </row>
    <row r="17" spans="1:2">
      <c r="A17" s="1" t="s">
        <v>12</v>
      </c>
      <c r="B17" s="1" t="s">
        <v>1186</v>
      </c>
    </row>
    <row r="18" spans="1:2">
      <c r="A18" t="s">
        <v>45</v>
      </c>
      <c r="B18">
        <v>5</v>
      </c>
    </row>
    <row r="19" spans="1:2">
      <c r="A19" t="s">
        <v>213</v>
      </c>
      <c r="B19">
        <v>4</v>
      </c>
    </row>
    <row r="20" spans="1:2">
      <c r="A20" t="s">
        <v>180</v>
      </c>
      <c r="B20">
        <v>4</v>
      </c>
    </row>
    <row r="21" spans="1:2">
      <c r="A21" t="s">
        <v>547</v>
      </c>
      <c r="B21">
        <v>3</v>
      </c>
    </row>
    <row r="22" spans="1:2">
      <c r="A22" t="s">
        <v>492</v>
      </c>
      <c r="B22">
        <v>3</v>
      </c>
    </row>
    <row r="23" spans="1:2">
      <c r="A23" t="s">
        <v>587</v>
      </c>
      <c r="B23">
        <v>3</v>
      </c>
    </row>
    <row r="24" spans="1:2">
      <c r="A24" t="s">
        <v>189</v>
      </c>
      <c r="B24">
        <v>2</v>
      </c>
    </row>
    <row r="25" spans="1:2">
      <c r="A25" t="s">
        <v>724</v>
      </c>
      <c r="B25">
        <v>2</v>
      </c>
    </row>
    <row r="26" spans="1:2">
      <c r="A26" t="s">
        <v>843</v>
      </c>
      <c r="B26">
        <v>2</v>
      </c>
    </row>
    <row r="27" spans="1:2">
      <c r="A27" t="s">
        <v>859</v>
      </c>
      <c r="B27">
        <v>2</v>
      </c>
    </row>
    <row r="28" spans="1:2">
      <c r="A28" t="s">
        <v>197</v>
      </c>
      <c r="B28">
        <v>2</v>
      </c>
    </row>
    <row r="29" spans="1:2">
      <c r="A29" t="s">
        <v>373</v>
      </c>
      <c r="B29">
        <v>2</v>
      </c>
    </row>
    <row r="30" spans="1:2">
      <c r="A30" t="s">
        <v>501</v>
      </c>
      <c r="B30">
        <v>2</v>
      </c>
    </row>
    <row r="31" spans="1:2">
      <c r="A31" t="s">
        <v>556</v>
      </c>
      <c r="B31">
        <v>2</v>
      </c>
    </row>
    <row r="32" spans="1:2">
      <c r="A32" t="s">
        <v>819</v>
      </c>
      <c r="B32">
        <v>2</v>
      </c>
    </row>
    <row r="33" spans="1:2">
      <c r="A33" t="s">
        <v>221</v>
      </c>
      <c r="B33">
        <v>2</v>
      </c>
    </row>
    <row r="34" spans="1:2">
      <c r="A34" t="s">
        <v>907</v>
      </c>
      <c r="B34">
        <v>2</v>
      </c>
    </row>
    <row r="35" spans="1:2">
      <c r="A35" t="s">
        <v>80</v>
      </c>
      <c r="B35">
        <v>2</v>
      </c>
    </row>
    <row r="36" spans="1:2">
      <c r="A36" t="s">
        <v>89</v>
      </c>
      <c r="B36">
        <v>2</v>
      </c>
    </row>
    <row r="37" spans="1:2">
      <c r="A37" t="s">
        <v>130</v>
      </c>
      <c r="B37">
        <v>2</v>
      </c>
    </row>
    <row r="38" spans="1:2">
      <c r="A38" t="s">
        <v>739</v>
      </c>
      <c r="B38">
        <v>2</v>
      </c>
    </row>
    <row r="39" spans="1:2">
      <c r="A39" t="s">
        <v>382</v>
      </c>
      <c r="B39">
        <v>2</v>
      </c>
    </row>
    <row r="40" spans="1:2">
      <c r="A40" t="s">
        <v>693</v>
      </c>
      <c r="B40">
        <v>1</v>
      </c>
    </row>
    <row r="41" spans="1:2">
      <c r="A41" t="s">
        <v>330</v>
      </c>
      <c r="B41">
        <v>1</v>
      </c>
    </row>
    <row r="42" spans="1:2">
      <c r="A42" t="s">
        <v>564</v>
      </c>
      <c r="B42">
        <v>1</v>
      </c>
    </row>
    <row r="43" spans="1:2">
      <c r="A43" t="s">
        <v>122</v>
      </c>
      <c r="B43">
        <v>1</v>
      </c>
    </row>
    <row r="44" spans="1:2">
      <c r="A44" t="s">
        <v>985</v>
      </c>
      <c r="B44">
        <v>1</v>
      </c>
    </row>
    <row r="45" spans="1:2">
      <c r="A45" t="s">
        <v>1081</v>
      </c>
      <c r="B45">
        <v>1</v>
      </c>
    </row>
    <row r="46" spans="1:2">
      <c r="A46" t="s">
        <v>659</v>
      </c>
      <c r="B46">
        <v>1</v>
      </c>
    </row>
    <row r="47" spans="1:2">
      <c r="A47" t="s">
        <v>54</v>
      </c>
      <c r="B47">
        <v>1</v>
      </c>
    </row>
    <row r="48" spans="1:2">
      <c r="A48" t="s">
        <v>298</v>
      </c>
      <c r="B48">
        <v>1</v>
      </c>
    </row>
    <row r="49" spans="1:2">
      <c r="A49" t="s">
        <v>596</v>
      </c>
      <c r="B49">
        <v>1</v>
      </c>
    </row>
    <row r="50" spans="1:2">
      <c r="A50" t="s">
        <v>651</v>
      </c>
      <c r="B50">
        <v>1</v>
      </c>
    </row>
    <row r="51" spans="1:2">
      <c r="A51" t="s">
        <v>206</v>
      </c>
      <c r="B51">
        <v>1</v>
      </c>
    </row>
    <row r="52" spans="1:2">
      <c r="A52" t="s">
        <v>257</v>
      </c>
      <c r="B52">
        <v>1</v>
      </c>
    </row>
    <row r="53" spans="1:2">
      <c r="A53" t="s">
        <v>71</v>
      </c>
      <c r="B53">
        <v>1</v>
      </c>
    </row>
    <row r="54" spans="1:2">
      <c r="A54" t="s">
        <v>677</v>
      </c>
      <c r="B54">
        <v>1</v>
      </c>
    </row>
    <row r="55" spans="1:2">
      <c r="A55" t="s">
        <v>229</v>
      </c>
      <c r="B55">
        <v>1</v>
      </c>
    </row>
    <row r="56" spans="1:2">
      <c r="A56" t="s">
        <v>977</v>
      </c>
      <c r="B56">
        <v>1</v>
      </c>
    </row>
    <row r="57" spans="1:2">
      <c r="A57" t="s">
        <v>106</v>
      </c>
      <c r="B57">
        <v>1</v>
      </c>
    </row>
    <row r="58" spans="1:2">
      <c r="A58" t="s">
        <v>884</v>
      </c>
      <c r="B58">
        <v>1</v>
      </c>
    </row>
    <row r="59" spans="1:2">
      <c r="A59" t="s">
        <v>432</v>
      </c>
      <c r="B59">
        <v>1</v>
      </c>
    </row>
    <row r="60" spans="1:2">
      <c r="A60" t="s">
        <v>146</v>
      </c>
      <c r="B60">
        <v>1</v>
      </c>
    </row>
    <row r="61" spans="1:2">
      <c r="A61" t="s">
        <v>763</v>
      </c>
      <c r="B61">
        <v>1</v>
      </c>
    </row>
    <row r="62" spans="1:2">
      <c r="A62" t="s">
        <v>621</v>
      </c>
      <c r="B62">
        <v>1</v>
      </c>
    </row>
    <row r="63" spans="1:2">
      <c r="A63" t="s">
        <v>322</v>
      </c>
      <c r="B63">
        <v>1</v>
      </c>
    </row>
    <row r="64" spans="1:2">
      <c r="A64" t="s">
        <v>114</v>
      </c>
      <c r="B64">
        <v>1</v>
      </c>
    </row>
    <row r="65" spans="1:2">
      <c r="A65" t="s">
        <v>307</v>
      </c>
      <c r="B65">
        <v>1</v>
      </c>
    </row>
    <row r="66" spans="1:2">
      <c r="A66" t="s">
        <v>154</v>
      </c>
      <c r="B66">
        <v>1</v>
      </c>
    </row>
    <row r="67" spans="1:2">
      <c r="A67" t="s">
        <v>1146</v>
      </c>
      <c r="B67">
        <v>1</v>
      </c>
    </row>
    <row r="68" spans="1:2">
      <c r="A68" t="s">
        <v>466</v>
      </c>
      <c r="B68">
        <v>1</v>
      </c>
    </row>
    <row r="69" spans="1:2">
      <c r="A69" t="s">
        <v>509</v>
      </c>
      <c r="B69">
        <v>1</v>
      </c>
    </row>
    <row r="70" spans="1:2">
      <c r="A70" t="s">
        <v>357</v>
      </c>
      <c r="B70">
        <v>1</v>
      </c>
    </row>
    <row r="71" spans="1:2">
      <c r="A71" t="s">
        <v>571</v>
      </c>
      <c r="B71">
        <v>1</v>
      </c>
    </row>
    <row r="72" spans="1:2">
      <c r="A72" t="s">
        <v>440</v>
      </c>
      <c r="B72">
        <v>1</v>
      </c>
    </row>
    <row r="73" spans="1:2">
      <c r="A73" t="s">
        <v>685</v>
      </c>
      <c r="B73">
        <v>1</v>
      </c>
    </row>
    <row r="74" spans="1:2">
      <c r="A74" t="s">
        <v>138</v>
      </c>
      <c r="B74">
        <v>1</v>
      </c>
    </row>
    <row r="75" spans="1:2">
      <c r="A75" t="s">
        <v>290</v>
      </c>
      <c r="B75">
        <v>1</v>
      </c>
    </row>
    <row r="76" spans="1:2">
      <c r="A76" t="s">
        <v>961</v>
      </c>
      <c r="B76">
        <v>1</v>
      </c>
    </row>
    <row r="77" spans="1:2">
      <c r="A77" t="s">
        <v>418</v>
      </c>
      <c r="B77">
        <v>1</v>
      </c>
    </row>
    <row r="78" spans="1:2">
      <c r="A78" t="s">
        <v>248</v>
      </c>
      <c r="B78">
        <v>1</v>
      </c>
    </row>
    <row r="79" spans="1:2">
      <c r="A79" t="s">
        <v>1019</v>
      </c>
      <c r="B79">
        <v>1</v>
      </c>
    </row>
    <row r="80" spans="1:2">
      <c r="A80" t="s">
        <v>811</v>
      </c>
      <c r="B80">
        <v>1</v>
      </c>
    </row>
    <row r="81" spans="1:2">
      <c r="A81" t="s">
        <v>953</v>
      </c>
      <c r="B81">
        <v>1</v>
      </c>
    </row>
    <row r="82" spans="1:2">
      <c r="A82" t="s">
        <v>348</v>
      </c>
      <c r="B82">
        <v>1</v>
      </c>
    </row>
    <row r="83" spans="1:2">
      <c r="A83" t="s">
        <v>456</v>
      </c>
      <c r="B83">
        <v>1</v>
      </c>
    </row>
    <row r="84" spans="1:2">
      <c r="A84" t="s">
        <v>475</v>
      </c>
      <c r="B84">
        <v>1</v>
      </c>
    </row>
    <row r="85" spans="1:2">
      <c r="A85" t="s">
        <v>392</v>
      </c>
      <c r="B85">
        <v>1</v>
      </c>
    </row>
    <row r="86" spans="1:2">
      <c r="A86" t="s">
        <v>875</v>
      </c>
      <c r="B86">
        <v>1</v>
      </c>
    </row>
    <row r="87" spans="1:2">
      <c r="A87" t="s">
        <v>1104</v>
      </c>
      <c r="B87">
        <v>1</v>
      </c>
    </row>
    <row r="88" spans="1:2">
      <c r="A88" t="s">
        <v>747</v>
      </c>
      <c r="B88">
        <v>1</v>
      </c>
    </row>
    <row r="89" spans="1:2">
      <c r="A89" t="s">
        <v>484</v>
      </c>
      <c r="B89">
        <v>1</v>
      </c>
    </row>
    <row r="90" spans="1:2">
      <c r="A90" t="s">
        <v>709</v>
      </c>
      <c r="B90">
        <v>1</v>
      </c>
    </row>
    <row r="91" spans="1:2">
      <c r="A91" t="s">
        <v>668</v>
      </c>
      <c r="B91">
        <v>1</v>
      </c>
    </row>
    <row r="92" spans="1:2">
      <c r="A92" t="s">
        <v>794</v>
      </c>
      <c r="B92">
        <v>1</v>
      </c>
    </row>
    <row r="93" spans="1:2">
      <c r="A93" t="s">
        <v>448</v>
      </c>
      <c r="B93">
        <v>1</v>
      </c>
    </row>
    <row r="94" spans="1:2">
      <c r="A94" t="s">
        <v>266</v>
      </c>
      <c r="B94">
        <v>1</v>
      </c>
    </row>
    <row r="95" spans="1:2">
      <c r="A95" t="s">
        <v>516</v>
      </c>
      <c r="B95">
        <v>1</v>
      </c>
    </row>
    <row r="96" spans="1:2">
      <c r="A96" t="s">
        <v>827</v>
      </c>
      <c r="B96">
        <v>1</v>
      </c>
    </row>
    <row r="97" spans="1:2">
      <c r="A97" t="s">
        <v>30</v>
      </c>
      <c r="B97">
        <v>1</v>
      </c>
    </row>
    <row r="98" spans="1:2">
      <c r="A98" t="s">
        <v>63</v>
      </c>
      <c r="B98">
        <v>1</v>
      </c>
    </row>
    <row r="99" spans="1:2">
      <c r="A99" t="s">
        <v>1028</v>
      </c>
      <c r="B99">
        <v>1</v>
      </c>
    </row>
    <row r="100" spans="1:2">
      <c r="A100" t="s">
        <v>239</v>
      </c>
      <c r="B100">
        <v>1</v>
      </c>
    </row>
    <row r="101" spans="1:2">
      <c r="A101" t="s">
        <v>946</v>
      </c>
      <c r="B101">
        <v>1</v>
      </c>
    </row>
    <row r="102" spans="1:2">
      <c r="A102" t="s">
        <v>613</v>
      </c>
      <c r="B102">
        <v>1</v>
      </c>
    </row>
    <row r="103" spans="1:2">
      <c r="A103" t="s">
        <v>636</v>
      </c>
      <c r="B103">
        <v>1</v>
      </c>
    </row>
    <row r="104" spans="1:2">
      <c r="A104" t="s">
        <v>802</v>
      </c>
      <c r="B104">
        <v>1</v>
      </c>
    </row>
    <row r="105" spans="1:2">
      <c r="A105" t="s">
        <v>1121</v>
      </c>
      <c r="B105">
        <v>1</v>
      </c>
    </row>
    <row r="106" spans="1:2">
      <c r="A106" t="s">
        <v>1137</v>
      </c>
      <c r="B106">
        <v>1</v>
      </c>
    </row>
    <row r="107" spans="1:2">
      <c r="A107" t="s">
        <v>892</v>
      </c>
      <c r="B107">
        <v>1</v>
      </c>
    </row>
    <row r="108" spans="1:2">
      <c r="A108" t="s">
        <v>282</v>
      </c>
      <c r="B108">
        <v>1</v>
      </c>
    </row>
    <row r="109" spans="1:2">
      <c r="A109" t="s">
        <v>969</v>
      </c>
      <c r="B109">
        <v>1</v>
      </c>
    </row>
    <row r="110" spans="1:2">
      <c r="A110" t="s">
        <v>408</v>
      </c>
      <c r="B110">
        <v>1</v>
      </c>
    </row>
    <row r="111" spans="1:2">
      <c r="A111" t="s">
        <v>1113</v>
      </c>
      <c r="B111">
        <v>1</v>
      </c>
    </row>
    <row r="112" spans="1:2">
      <c r="A112" t="s">
        <v>274</v>
      </c>
      <c r="B112">
        <v>1</v>
      </c>
    </row>
    <row r="113" spans="1:2">
      <c r="A113" t="s">
        <v>1051</v>
      </c>
      <c r="B113">
        <v>1</v>
      </c>
    </row>
    <row r="114" spans="1:2">
      <c r="A114" t="s">
        <v>1002</v>
      </c>
      <c r="B114">
        <v>1</v>
      </c>
    </row>
    <row r="115" spans="1:2">
      <c r="A115" t="s">
        <v>524</v>
      </c>
      <c r="B115">
        <v>1</v>
      </c>
    </row>
    <row r="116" spans="1:2">
      <c r="A116" t="s">
        <v>1096</v>
      </c>
      <c r="B116">
        <v>1</v>
      </c>
    </row>
    <row r="117" spans="1:2">
      <c r="A117" t="s">
        <v>339</v>
      </c>
      <c r="B117">
        <v>1</v>
      </c>
    </row>
    <row r="118" spans="1:2">
      <c r="A118" t="s">
        <v>937</v>
      </c>
      <c r="B118">
        <v>1</v>
      </c>
    </row>
    <row r="119" spans="1:2">
      <c r="A119" t="s">
        <v>993</v>
      </c>
      <c r="B119">
        <v>1</v>
      </c>
    </row>
    <row r="120" spans="1:2">
      <c r="A120" t="s">
        <v>172</v>
      </c>
      <c r="B120">
        <v>1</v>
      </c>
    </row>
    <row r="121" spans="1:2">
      <c r="A121" t="s">
        <v>162</v>
      </c>
      <c r="B121">
        <v>1</v>
      </c>
    </row>
    <row r="122" spans="1:2">
      <c r="A122" t="s">
        <v>1065</v>
      </c>
      <c r="B122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3"/>
  <sheetViews>
    <sheetView workbookViewId="0">
      <selection sqref="A1:XFD3"/>
    </sheetView>
  </sheetViews>
  <sheetFormatPr defaultRowHeight="13.8"/>
  <cols>
    <col min="1" max="1" width="38" customWidth="1"/>
    <col min="2" max="2" width="66" customWidth="1"/>
    <col min="3" max="3" width="72" customWidth="1"/>
    <col min="4" max="4" width="62" customWidth="1"/>
    <col min="5" max="5" width="78" customWidth="1"/>
  </cols>
  <sheetData>
    <row r="1" spans="1:5">
      <c r="A1" s="3" t="s">
        <v>1251</v>
      </c>
      <c r="B1" s="3" t="s">
        <v>1187</v>
      </c>
      <c r="C1" s="3" t="s">
        <v>1188</v>
      </c>
      <c r="D1" s="3" t="s">
        <v>1189</v>
      </c>
      <c r="E1" s="3" t="s">
        <v>1190</v>
      </c>
    </row>
    <row r="2" spans="1:5" ht="27.6">
      <c r="A2" s="4" t="s">
        <v>1191</v>
      </c>
      <c r="B2" s="4" t="s">
        <v>1192</v>
      </c>
      <c r="C2" s="4" t="s">
        <v>1193</v>
      </c>
      <c r="D2" s="4" t="s">
        <v>1194</v>
      </c>
      <c r="E2" s="4" t="s">
        <v>1195</v>
      </c>
    </row>
    <row r="3" spans="1:5" ht="27.6">
      <c r="A3" s="4" t="s">
        <v>1196</v>
      </c>
      <c r="B3" s="4" t="s">
        <v>1197</v>
      </c>
      <c r="C3" s="4" t="s">
        <v>1198</v>
      </c>
      <c r="D3" s="4" t="s">
        <v>1199</v>
      </c>
      <c r="E3" s="4" t="s">
        <v>1200</v>
      </c>
    </row>
    <row r="4" spans="1:5" ht="27.6">
      <c r="A4" s="4" t="s">
        <v>1201</v>
      </c>
      <c r="B4" s="4" t="s">
        <v>1202</v>
      </c>
      <c r="C4" s="4" t="s">
        <v>1203</v>
      </c>
      <c r="D4" s="4" t="s">
        <v>1204</v>
      </c>
      <c r="E4" s="4" t="s">
        <v>1205</v>
      </c>
    </row>
    <row r="5" spans="1:5" ht="27.6">
      <c r="A5" s="4" t="s">
        <v>1206</v>
      </c>
      <c r="B5" s="4" t="s">
        <v>1207</v>
      </c>
      <c r="C5" s="4" t="s">
        <v>1208</v>
      </c>
      <c r="D5" s="4" t="s">
        <v>1209</v>
      </c>
      <c r="E5" s="4" t="s">
        <v>1210</v>
      </c>
    </row>
    <row r="6" spans="1:5" ht="27.6">
      <c r="A6" s="4" t="s">
        <v>1211</v>
      </c>
      <c r="B6" s="4" t="s">
        <v>1212</v>
      </c>
      <c r="C6" s="4" t="s">
        <v>1213</v>
      </c>
      <c r="D6" s="4" t="s">
        <v>1214</v>
      </c>
      <c r="E6" s="4" t="s">
        <v>1215</v>
      </c>
    </row>
    <row r="7" spans="1:5" ht="27.6">
      <c r="A7" s="4" t="s">
        <v>1216</v>
      </c>
      <c r="B7" s="4" t="s">
        <v>1217</v>
      </c>
      <c r="C7" s="4" t="s">
        <v>1218</v>
      </c>
      <c r="D7" s="4" t="s">
        <v>1219</v>
      </c>
      <c r="E7" s="4" t="s">
        <v>1220</v>
      </c>
    </row>
    <row r="8" spans="1:5" ht="27.6">
      <c r="A8" s="4" t="s">
        <v>1221</v>
      </c>
      <c r="B8" s="4" t="s">
        <v>1222</v>
      </c>
      <c r="C8" s="4" t="s">
        <v>1223</v>
      </c>
      <c r="D8" s="4" t="s">
        <v>1224</v>
      </c>
      <c r="E8" s="4" t="s">
        <v>1225</v>
      </c>
    </row>
    <row r="9" spans="1:5" ht="27.6">
      <c r="A9" s="4" t="s">
        <v>1226</v>
      </c>
      <c r="B9" s="4" t="s">
        <v>1227</v>
      </c>
      <c r="C9" s="4" t="s">
        <v>1228</v>
      </c>
      <c r="D9" s="4" t="s">
        <v>1229</v>
      </c>
      <c r="E9" s="4" t="s">
        <v>1230</v>
      </c>
    </row>
    <row r="10" spans="1:5" ht="27.6">
      <c r="A10" s="4" t="s">
        <v>1231</v>
      </c>
      <c r="B10" s="4" t="s">
        <v>1232</v>
      </c>
      <c r="C10" s="4" t="s">
        <v>1233</v>
      </c>
      <c r="D10" s="4" t="s">
        <v>1234</v>
      </c>
      <c r="E10" s="4" t="s">
        <v>1235</v>
      </c>
    </row>
    <row r="11" spans="1:5" ht="27.6">
      <c r="A11" s="4" t="s">
        <v>1236</v>
      </c>
      <c r="B11" s="4" t="s">
        <v>1237</v>
      </c>
      <c r="C11" s="4" t="s">
        <v>1238</v>
      </c>
      <c r="D11" s="4" t="s">
        <v>1239</v>
      </c>
      <c r="E11" s="4" t="s">
        <v>1240</v>
      </c>
    </row>
    <row r="12" spans="1:5">
      <c r="A12" s="4" t="s">
        <v>1241</v>
      </c>
      <c r="B12" s="4" t="s">
        <v>1242</v>
      </c>
      <c r="C12" s="4" t="s">
        <v>1243</v>
      </c>
      <c r="D12" s="4" t="s">
        <v>1244</v>
      </c>
      <c r="E12" s="4" t="s">
        <v>1245</v>
      </c>
    </row>
    <row r="13" spans="1:5" ht="27.6">
      <c r="A13" s="4" t="s">
        <v>1246</v>
      </c>
      <c r="B13" s="4" t="s">
        <v>1247</v>
      </c>
      <c r="C13" s="4" t="s">
        <v>1248</v>
      </c>
      <c r="D13" s="4" t="s">
        <v>1249</v>
      </c>
      <c r="E13" s="4" t="s">
        <v>1250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ferramentas_execucao</vt:lpstr>
      <vt:lpstr>criterios</vt:lpstr>
      <vt:lpstr>resumo</vt:lpstr>
      <vt:lpstr>sugestao_por_produto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Author</cp:lastModifiedBy>
  <dcterms:modified xsi:type="dcterms:W3CDTF">2026-05-28T18:03:54Z</dcterms:modified>
</cp:coreProperties>
</file>